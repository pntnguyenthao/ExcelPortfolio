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C\Desktop\"/>
    </mc:Choice>
  </mc:AlternateContent>
  <xr:revisionPtr revIDLastSave="0" documentId="13_ncr:1_{3C06FF4B-5C04-4E56-A68E-D6C80CED88BA}" xr6:coauthVersionLast="47" xr6:coauthVersionMax="47" xr10:uidLastSave="{00000000-0000-0000-0000-000000000000}"/>
  <bookViews>
    <workbookView xWindow="-108" yWindow="-108" windowWidth="23256" windowHeight="12456" activeTab="3" xr2:uid="{E3D0AC1C-2F60-41F7-B637-7BD54B2C6DB8}"/>
  </bookViews>
  <sheets>
    <sheet name="Raw Data" sheetId="1" r:id="rId1"/>
    <sheet name="Countries' Continents Data" sheetId="12" r:id="rId2"/>
    <sheet name="Processed Data" sheetId="2" r:id="rId3"/>
    <sheet name="Analysis Process" sheetId="3" r:id="rId4"/>
    <sheet name="Goal 1" sheetId="10" r:id="rId5"/>
    <sheet name="Goal 2" sheetId="13" r:id="rId6"/>
    <sheet name="Goal 3" sheetId="14" r:id="rId7"/>
    <sheet name="Goal 4" sheetId="16" r:id="rId8"/>
  </sheets>
  <definedNames>
    <definedName name="ExternalData_1" localSheetId="1" hidden="1">'Countries'' Continents Data'!$A$1:$F$62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2" l="1" a="1"/>
  <c r="D11" i="2" s="1"/>
  <c r="H2" i="2" a="1"/>
  <c r="H2" i="2" s="1"/>
  <c r="H3" i="2" a="1"/>
  <c r="H3" i="2" s="1"/>
  <c r="H4" i="2" a="1"/>
  <c r="H4" i="2" s="1"/>
  <c r="H5" i="2" a="1"/>
  <c r="H5" i="2" s="1"/>
  <c r="H6" i="2" a="1"/>
  <c r="H6" i="2" s="1"/>
  <c r="H7" i="2" a="1"/>
  <c r="H7" i="2" s="1"/>
  <c r="H8" i="2" a="1"/>
  <c r="H8" i="2" s="1"/>
  <c r="H9" i="2" a="1"/>
  <c r="H9" i="2" s="1"/>
  <c r="H10" i="2" a="1"/>
  <c r="H10" i="2" s="1"/>
  <c r="H11" i="2" a="1"/>
  <c r="H11" i="2" s="1"/>
  <c r="H12" i="2" a="1"/>
  <c r="H12" i="2" s="1"/>
  <c r="H13" i="2" a="1"/>
  <c r="H13" i="2" s="1"/>
  <c r="H14" i="2" a="1"/>
  <c r="H14" i="2" s="1"/>
  <c r="H15" i="2" a="1"/>
  <c r="H15" i="2" s="1"/>
  <c r="H16" i="2" a="1"/>
  <c r="H16" i="2" s="1"/>
  <c r="H17" i="2" a="1"/>
  <c r="H17" i="2" s="1"/>
  <c r="H18" i="2" a="1"/>
  <c r="H18" i="2" s="1"/>
  <c r="H19" i="2" a="1"/>
  <c r="H19" i="2" s="1"/>
  <c r="H20" i="2" a="1"/>
  <c r="H20" i="2" s="1"/>
  <c r="H21" i="2" a="1"/>
  <c r="H21" i="2" s="1"/>
  <c r="H22" i="2" a="1"/>
  <c r="H22" i="2" s="1"/>
  <c r="H23" i="2" a="1"/>
  <c r="H23" i="2" s="1"/>
  <c r="H24" i="2" a="1"/>
  <c r="H24" i="2" s="1"/>
  <c r="H25" i="2" a="1"/>
  <c r="H25" i="2" s="1"/>
  <c r="H26" i="2" a="1"/>
  <c r="H26" i="2" s="1"/>
  <c r="H27" i="2" a="1"/>
  <c r="H27" i="2" s="1"/>
  <c r="H28" i="2" a="1"/>
  <c r="H28" i="2" s="1"/>
  <c r="H29" i="2" a="1"/>
  <c r="H29" i="2" s="1"/>
  <c r="H30" i="2" a="1"/>
  <c r="H30" i="2" s="1"/>
  <c r="H31" i="2" a="1"/>
  <c r="H31" i="2" s="1"/>
  <c r="H32" i="2" a="1"/>
  <c r="H32" i="2" s="1"/>
  <c r="H33" i="2" a="1"/>
  <c r="H33" i="2" s="1"/>
  <c r="H34" i="2" a="1"/>
  <c r="H34" i="2" s="1"/>
  <c r="H35" i="2" a="1"/>
  <c r="H35" i="2" s="1"/>
  <c r="H36" i="2" a="1"/>
  <c r="H36" i="2" s="1"/>
  <c r="H37" i="2" a="1"/>
  <c r="H37" i="2" s="1"/>
  <c r="H38" i="2" a="1"/>
  <c r="H38" i="2" s="1"/>
  <c r="H39" i="2" a="1"/>
  <c r="H39" i="2" s="1"/>
  <c r="H40" i="2" a="1"/>
  <c r="H40" i="2" s="1"/>
  <c r="H41" i="2" a="1"/>
  <c r="H41" i="2" s="1"/>
  <c r="H42" i="2" a="1"/>
  <c r="H42" i="2" s="1"/>
  <c r="H43" i="2" a="1"/>
  <c r="H43" i="2" s="1"/>
  <c r="H44" i="2" a="1"/>
  <c r="H44" i="2" s="1"/>
  <c r="H45" i="2" a="1"/>
  <c r="H45" i="2" s="1"/>
  <c r="H46" i="2" a="1"/>
  <c r="H46" i="2" s="1"/>
  <c r="H47" i="2" a="1"/>
  <c r="H47" i="2" s="1"/>
  <c r="H48" i="2" a="1"/>
  <c r="H48" i="2" s="1"/>
  <c r="H49" i="2" a="1"/>
  <c r="H49" i="2" s="1"/>
  <c r="H50" i="2" a="1"/>
  <c r="H50" i="2" s="1"/>
  <c r="H51" i="2" a="1"/>
  <c r="H51" i="2" s="1"/>
  <c r="H52" i="2" a="1"/>
  <c r="H52" i="2" s="1"/>
  <c r="H53" i="2" a="1"/>
  <c r="H53" i="2" s="1"/>
  <c r="H54" i="2" a="1"/>
  <c r="H54" i="2" s="1"/>
  <c r="H55" i="2" a="1"/>
  <c r="H55" i="2" s="1"/>
  <c r="H56" i="2" a="1"/>
  <c r="H56" i="2" s="1"/>
  <c r="H57" i="2" a="1"/>
  <c r="H57" i="2" s="1"/>
  <c r="H58" i="2" a="1"/>
  <c r="H58" i="2" s="1"/>
  <c r="H59" i="2" a="1"/>
  <c r="H59" i="2" s="1"/>
  <c r="H60" i="2" a="1"/>
  <c r="H60" i="2" s="1"/>
  <c r="H61" i="2" a="1"/>
  <c r="H61" i="2" s="1"/>
  <c r="H62" i="2" a="1"/>
  <c r="H62" i="2" s="1"/>
  <c r="H63" i="2" a="1"/>
  <c r="H63" i="2" s="1"/>
  <c r="H64" i="2" a="1"/>
  <c r="H64" i="2" s="1"/>
  <c r="H65" i="2" a="1"/>
  <c r="H65" i="2" s="1"/>
  <c r="H66" i="2" a="1"/>
  <c r="H66" i="2" s="1"/>
  <c r="H67" i="2" a="1"/>
  <c r="H67" i="2" s="1"/>
  <c r="H68" i="2" a="1"/>
  <c r="H68" i="2" s="1"/>
  <c r="H69" i="2" a="1"/>
  <c r="H69" i="2" s="1"/>
  <c r="H70" i="2" a="1"/>
  <c r="H70" i="2" s="1"/>
  <c r="H71" i="2" a="1"/>
  <c r="H71" i="2" s="1"/>
  <c r="H72" i="2" a="1"/>
  <c r="H72" i="2" s="1"/>
  <c r="H73" i="2" a="1"/>
  <c r="H73" i="2" s="1"/>
  <c r="H74" i="2" a="1"/>
  <c r="H74" i="2" s="1"/>
  <c r="H75" i="2" a="1"/>
  <c r="H75" i="2" s="1"/>
  <c r="H76" i="2" a="1"/>
  <c r="H76" i="2" s="1"/>
  <c r="H77" i="2" a="1"/>
  <c r="H77" i="2" s="1"/>
  <c r="H78" i="2" a="1"/>
  <c r="H78" i="2" s="1"/>
  <c r="H79" i="2" a="1"/>
  <c r="H79" i="2" s="1"/>
  <c r="H80" i="2" a="1"/>
  <c r="H80" i="2" s="1"/>
  <c r="H81" i="2" a="1"/>
  <c r="H81" i="2" s="1"/>
  <c r="H82" i="2" a="1"/>
  <c r="H82" i="2" s="1"/>
  <c r="H83" i="2" a="1"/>
  <c r="H83" i="2" s="1"/>
  <c r="H84" i="2" a="1"/>
  <c r="H84" i="2" s="1"/>
  <c r="H85" i="2" a="1"/>
  <c r="H85" i="2" s="1"/>
  <c r="H86" i="2" a="1"/>
  <c r="H86" i="2" s="1"/>
  <c r="H87" i="2" a="1"/>
  <c r="H87" i="2" s="1"/>
  <c r="H88" i="2" a="1"/>
  <c r="H88" i="2" s="1"/>
  <c r="H89" i="2" a="1"/>
  <c r="H89" i="2" s="1"/>
  <c r="H90" i="2" a="1"/>
  <c r="H90" i="2" s="1"/>
  <c r="H91" i="2" a="1"/>
  <c r="H91" i="2" s="1"/>
  <c r="H92" i="2" a="1"/>
  <c r="H92" i="2" s="1"/>
  <c r="H93" i="2" a="1"/>
  <c r="H93" i="2" s="1"/>
  <c r="H94" i="2" a="1"/>
  <c r="H94" i="2" s="1"/>
  <c r="H95" i="2" a="1"/>
  <c r="H95" i="2" s="1"/>
  <c r="H96" i="2" a="1"/>
  <c r="H96" i="2" s="1"/>
  <c r="H97" i="2" a="1"/>
  <c r="H97" i="2" s="1"/>
  <c r="H98" i="2" a="1"/>
  <c r="H98" i="2" s="1"/>
  <c r="H99" i="2" a="1"/>
  <c r="H99" i="2" s="1"/>
  <c r="H100" i="2" a="1"/>
  <c r="H100" i="2" s="1"/>
  <c r="H101" i="2" a="1"/>
  <c r="H101" i="2" s="1"/>
  <c r="H102" i="2" a="1"/>
  <c r="H102" i="2" s="1"/>
  <c r="H103" i="2" a="1"/>
  <c r="H103" i="2" s="1"/>
  <c r="H104" i="2" a="1"/>
  <c r="H104" i="2" s="1"/>
  <c r="H105" i="2" a="1"/>
  <c r="H105" i="2" s="1"/>
  <c r="H106" i="2" a="1"/>
  <c r="H106" i="2" s="1"/>
  <c r="H107" i="2" a="1"/>
  <c r="H107" i="2" s="1"/>
  <c r="H108" i="2" a="1"/>
  <c r="H108" i="2" s="1"/>
  <c r="H109" i="2" a="1"/>
  <c r="H109" i="2" s="1"/>
  <c r="H110" i="2" a="1"/>
  <c r="H110" i="2" s="1"/>
  <c r="H111" i="2" a="1"/>
  <c r="H111" i="2" s="1"/>
  <c r="H112" i="2" a="1"/>
  <c r="H112" i="2" s="1"/>
  <c r="H113" i="2" a="1"/>
  <c r="H113" i="2" s="1"/>
  <c r="H114" i="2" a="1"/>
  <c r="H114" i="2" s="1"/>
  <c r="H115" i="2" a="1"/>
  <c r="H115" i="2" s="1"/>
  <c r="H116" i="2" a="1"/>
  <c r="H116" i="2" s="1"/>
  <c r="H117" i="2" a="1"/>
  <c r="H117" i="2" s="1"/>
  <c r="H118" i="2" a="1"/>
  <c r="H118" i="2" s="1"/>
  <c r="H119" i="2" a="1"/>
  <c r="H119" i="2" s="1"/>
  <c r="H120" i="2" a="1"/>
  <c r="H120" i="2" s="1"/>
  <c r="H121" i="2" a="1"/>
  <c r="H121" i="2" s="1"/>
  <c r="H122" i="2" a="1"/>
  <c r="H122" i="2" s="1"/>
  <c r="H123" i="2" a="1"/>
  <c r="H123" i="2" s="1"/>
  <c r="H124" i="2" a="1"/>
  <c r="H124" i="2" s="1"/>
  <c r="H125" i="2" a="1"/>
  <c r="H125" i="2" s="1"/>
  <c r="H126" i="2" a="1"/>
  <c r="H126" i="2" s="1"/>
  <c r="H127" i="2" a="1"/>
  <c r="H127" i="2" s="1"/>
  <c r="H128" i="2" a="1"/>
  <c r="H128" i="2" s="1"/>
  <c r="H129" i="2" a="1"/>
  <c r="H129" i="2" s="1"/>
  <c r="H130" i="2" a="1"/>
  <c r="H130" i="2" s="1"/>
  <c r="H131" i="2" a="1"/>
  <c r="H131" i="2" s="1"/>
  <c r="H132" i="2" a="1"/>
  <c r="H132" i="2" s="1"/>
  <c r="H133" i="2" a="1"/>
  <c r="H133" i="2" s="1"/>
  <c r="H134" i="2" a="1"/>
  <c r="H134" i="2" s="1"/>
  <c r="H135" i="2" a="1"/>
  <c r="H135" i="2" s="1"/>
  <c r="H136" i="2" a="1"/>
  <c r="H136" i="2" s="1"/>
  <c r="H137" i="2" a="1"/>
  <c r="H137" i="2" s="1"/>
  <c r="H138" i="2" a="1"/>
  <c r="H138" i="2" s="1"/>
  <c r="D2" i="2" a="1"/>
  <c r="D2" i="2" s="1"/>
  <c r="D3" i="2" a="1"/>
  <c r="D3" i="2" s="1"/>
  <c r="D4" i="2" a="1"/>
  <c r="D4" i="2" s="1"/>
  <c r="D5" i="2" a="1"/>
  <c r="D5" i="2" s="1"/>
  <c r="D6" i="2" a="1"/>
  <c r="D6" i="2" s="1"/>
  <c r="D7" i="2" a="1"/>
  <c r="D7" i="2" s="1"/>
  <c r="D8" i="2" a="1"/>
  <c r="D8" i="2" s="1"/>
  <c r="D9" i="2" a="1"/>
  <c r="D9" i="2" s="1"/>
  <c r="D10" i="2" a="1"/>
  <c r="D10" i="2" s="1"/>
  <c r="D12" i="2" a="1"/>
  <c r="D12" i="2" s="1"/>
  <c r="D13" i="2" a="1"/>
  <c r="D13" i="2" s="1"/>
  <c r="D14" i="2" a="1"/>
  <c r="D14" i="2" s="1"/>
  <c r="D15" i="2" a="1"/>
  <c r="D15" i="2" s="1"/>
  <c r="D16" i="2" a="1"/>
  <c r="D16" i="2" s="1"/>
  <c r="D17" i="2" a="1"/>
  <c r="D17" i="2" s="1"/>
  <c r="D18" i="2" a="1"/>
  <c r="D18" i="2" s="1"/>
  <c r="D19" i="2" a="1"/>
  <c r="D19" i="2" s="1"/>
  <c r="D20" i="2" a="1"/>
  <c r="D20" i="2" s="1"/>
  <c r="D21" i="2" a="1"/>
  <c r="D21" i="2" s="1"/>
  <c r="D22" i="2" a="1"/>
  <c r="D22" i="2" s="1"/>
  <c r="D23" i="2" a="1"/>
  <c r="D23" i="2" s="1"/>
  <c r="D24" i="2" a="1"/>
  <c r="D24" i="2" s="1"/>
  <c r="D25" i="2" a="1"/>
  <c r="D25" i="2" s="1"/>
  <c r="D26" i="2" a="1"/>
  <c r="D26" i="2" s="1"/>
  <c r="D27" i="2" a="1"/>
  <c r="D27" i="2" s="1"/>
  <c r="D28" i="2" a="1"/>
  <c r="D28" i="2" s="1"/>
  <c r="D29" i="2" a="1"/>
  <c r="D29" i="2" s="1"/>
  <c r="D30" i="2" a="1"/>
  <c r="D30" i="2" s="1"/>
  <c r="D31" i="2" a="1"/>
  <c r="D31" i="2" s="1"/>
  <c r="D32" i="2" a="1"/>
  <c r="D32" i="2" s="1"/>
  <c r="D33" i="2" a="1"/>
  <c r="D33" i="2" s="1"/>
  <c r="D34" i="2" a="1"/>
  <c r="D34" i="2" s="1"/>
  <c r="D35" i="2" a="1"/>
  <c r="D35" i="2" s="1"/>
  <c r="D36" i="2" a="1"/>
  <c r="D36" i="2" s="1"/>
  <c r="D37" i="2" a="1"/>
  <c r="D37" i="2" s="1"/>
  <c r="D38" i="2" a="1"/>
  <c r="D38" i="2" s="1"/>
  <c r="D39" i="2" a="1"/>
  <c r="D39" i="2" s="1"/>
  <c r="D40" i="2" a="1"/>
  <c r="D40" i="2" s="1"/>
  <c r="D41" i="2" a="1"/>
  <c r="D41" i="2" s="1"/>
  <c r="D42" i="2" a="1"/>
  <c r="D42" i="2" s="1"/>
  <c r="D43" i="2" a="1"/>
  <c r="D43" i="2" s="1"/>
  <c r="D44" i="2" a="1"/>
  <c r="D44" i="2" s="1"/>
  <c r="D45" i="2" a="1"/>
  <c r="D45" i="2" s="1"/>
  <c r="D46" i="2" a="1"/>
  <c r="D46" i="2" s="1"/>
  <c r="D47" i="2" a="1"/>
  <c r="D47" i="2" s="1"/>
  <c r="D48" i="2" a="1"/>
  <c r="D48" i="2" s="1"/>
  <c r="D49" i="2" a="1"/>
  <c r="D49" i="2" s="1"/>
  <c r="D50" i="2" a="1"/>
  <c r="D50" i="2" s="1"/>
  <c r="D51" i="2" a="1"/>
  <c r="D51" i="2" s="1"/>
  <c r="D52" i="2" a="1"/>
  <c r="D52" i="2" s="1"/>
  <c r="D53" i="2" a="1"/>
  <c r="D53" i="2" s="1"/>
  <c r="D54" i="2" a="1"/>
  <c r="D54" i="2" s="1"/>
  <c r="D55" i="2" a="1"/>
  <c r="D55" i="2" s="1"/>
  <c r="D56" i="2" a="1"/>
  <c r="D56" i="2" s="1"/>
  <c r="D57" i="2" a="1"/>
  <c r="D57" i="2" s="1"/>
  <c r="D58" i="2" a="1"/>
  <c r="D58" i="2" s="1"/>
  <c r="D59" i="2" a="1"/>
  <c r="D59" i="2" s="1"/>
  <c r="D60" i="2" a="1"/>
  <c r="D60" i="2" s="1"/>
  <c r="D61" i="2" a="1"/>
  <c r="D61" i="2" s="1"/>
  <c r="D62" i="2" a="1"/>
  <c r="D62" i="2" s="1"/>
  <c r="D63" i="2" a="1"/>
  <c r="D63" i="2" s="1"/>
  <c r="D64" i="2" a="1"/>
  <c r="D64" i="2" s="1"/>
  <c r="D65" i="2" a="1"/>
  <c r="D65" i="2" s="1"/>
  <c r="D66" i="2" a="1"/>
  <c r="D66" i="2" s="1"/>
  <c r="D67" i="2" a="1"/>
  <c r="D67" i="2" s="1"/>
  <c r="D68" i="2" a="1"/>
  <c r="D68" i="2" s="1"/>
  <c r="D69" i="2" a="1"/>
  <c r="D69" i="2" s="1"/>
  <c r="D70" i="2" a="1"/>
  <c r="D70" i="2" s="1"/>
  <c r="D71" i="2" a="1"/>
  <c r="D71" i="2" s="1"/>
  <c r="D72" i="2" a="1"/>
  <c r="D72" i="2" s="1"/>
  <c r="D73" i="2" a="1"/>
  <c r="D73" i="2" s="1"/>
  <c r="D74" i="2" a="1"/>
  <c r="D74" i="2" s="1"/>
  <c r="D75" i="2" a="1"/>
  <c r="D75" i="2" s="1"/>
  <c r="D76" i="2" a="1"/>
  <c r="D76" i="2" s="1"/>
  <c r="D77" i="2" a="1"/>
  <c r="D77" i="2" s="1"/>
  <c r="D78" i="2" a="1"/>
  <c r="D78" i="2" s="1"/>
  <c r="D79" i="2" a="1"/>
  <c r="D79" i="2" s="1"/>
  <c r="D80" i="2" a="1"/>
  <c r="D80" i="2" s="1"/>
  <c r="D81" i="2" a="1"/>
  <c r="D81" i="2" s="1"/>
  <c r="D82" i="2" a="1"/>
  <c r="D82" i="2" s="1"/>
  <c r="D83" i="2" a="1"/>
  <c r="D83" i="2" s="1"/>
  <c r="D84" i="2" a="1"/>
  <c r="D84" i="2" s="1"/>
  <c r="D85" i="2" a="1"/>
  <c r="D85" i="2" s="1"/>
  <c r="D86" i="2" a="1"/>
  <c r="D86" i="2" s="1"/>
  <c r="D87" i="2" a="1"/>
  <c r="D87" i="2" s="1"/>
  <c r="D88" i="2" a="1"/>
  <c r="D88" i="2" s="1"/>
  <c r="D89" i="2" a="1"/>
  <c r="D89" i="2" s="1"/>
  <c r="D90" i="2" a="1"/>
  <c r="D90" i="2" s="1"/>
  <c r="D91" i="2" a="1"/>
  <c r="D91" i="2" s="1"/>
  <c r="D92" i="2" a="1"/>
  <c r="D92" i="2" s="1"/>
  <c r="D93" i="2" a="1"/>
  <c r="D93" i="2" s="1"/>
  <c r="D94" i="2" a="1"/>
  <c r="D94" i="2" s="1"/>
  <c r="D95" i="2" a="1"/>
  <c r="D95" i="2" s="1"/>
  <c r="D96" i="2" a="1"/>
  <c r="D96" i="2" s="1"/>
  <c r="D97" i="2" a="1"/>
  <c r="D97" i="2" s="1"/>
  <c r="D98" i="2" a="1"/>
  <c r="D98" i="2" s="1"/>
  <c r="D99" i="2" a="1"/>
  <c r="D99" i="2" s="1"/>
  <c r="D100" i="2" a="1"/>
  <c r="D100" i="2" s="1"/>
  <c r="D101" i="2" a="1"/>
  <c r="D101" i="2" s="1"/>
  <c r="D102" i="2" a="1"/>
  <c r="D102" i="2" s="1"/>
  <c r="D103" i="2" a="1"/>
  <c r="D103" i="2" s="1"/>
  <c r="D104" i="2" a="1"/>
  <c r="D104" i="2" s="1"/>
  <c r="D105" i="2" a="1"/>
  <c r="D105" i="2" s="1"/>
  <c r="D106" i="2" a="1"/>
  <c r="D106" i="2" s="1"/>
  <c r="D107" i="2" a="1"/>
  <c r="D107" i="2" s="1"/>
  <c r="D108" i="2" a="1"/>
  <c r="D108" i="2" s="1"/>
  <c r="D109" i="2" a="1"/>
  <c r="D109" i="2" s="1"/>
  <c r="D110" i="2" a="1"/>
  <c r="D110" i="2" s="1"/>
  <c r="D111" i="2" a="1"/>
  <c r="D111" i="2" s="1"/>
  <c r="D112" i="2" a="1"/>
  <c r="D112" i="2" s="1"/>
  <c r="D113" i="2" a="1"/>
  <c r="D113" i="2" s="1"/>
  <c r="D114" i="2" a="1"/>
  <c r="D114" i="2" s="1"/>
  <c r="D115" i="2" a="1"/>
  <c r="D115" i="2" s="1"/>
  <c r="D116" i="2" a="1"/>
  <c r="D116" i="2" s="1"/>
  <c r="D117" i="2" a="1"/>
  <c r="D117" i="2" s="1"/>
  <c r="D118" i="2" a="1"/>
  <c r="D118" i="2" s="1"/>
  <c r="D119" i="2" a="1"/>
  <c r="D119" i="2" s="1"/>
  <c r="D120" i="2" a="1"/>
  <c r="D120" i="2" s="1"/>
  <c r="D121" i="2" a="1"/>
  <c r="D121" i="2" s="1"/>
  <c r="D122" i="2" a="1"/>
  <c r="D122" i="2" s="1"/>
  <c r="D123" i="2" a="1"/>
  <c r="D123" i="2" s="1"/>
  <c r="D124" i="2" a="1"/>
  <c r="D124" i="2" s="1"/>
  <c r="D125" i="2" a="1"/>
  <c r="D125" i="2" s="1"/>
  <c r="D126" i="2" a="1"/>
  <c r="D126" i="2" s="1"/>
  <c r="D127" i="2" a="1"/>
  <c r="D127" i="2" s="1"/>
  <c r="D128" i="2" a="1"/>
  <c r="D128" i="2" s="1"/>
  <c r="D129" i="2" a="1"/>
  <c r="D129" i="2" s="1"/>
  <c r="D130" i="2" a="1"/>
  <c r="D130" i="2" s="1"/>
  <c r="D131" i="2" a="1"/>
  <c r="D131" i="2" s="1"/>
  <c r="D132" i="2" a="1"/>
  <c r="D132" i="2" s="1"/>
  <c r="D133" i="2" a="1"/>
  <c r="D133" i="2" s="1"/>
  <c r="D134" i="2" a="1"/>
  <c r="D134" i="2" s="1"/>
  <c r="D135" i="2" a="1"/>
  <c r="D135" i="2" s="1"/>
  <c r="D136" i="2" a="1"/>
  <c r="D136" i="2" s="1"/>
  <c r="D137" i="2" a="1"/>
  <c r="D137" i="2" s="1"/>
  <c r="D138" i="2" a="1"/>
  <c r="D138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98DD652-89CE-477E-82AC-BB9F0AF0866E}" keepAlive="1" name="Query - Table001 (Page 1)" description="Connection to the 'Table001 (Page 1)' query in the workbook." type="5" refreshedVersion="8" background="1" saveData="1">
    <dbPr connection="Provider=Microsoft.Mashup.OleDb.1;Data Source=$Workbook$;Location=&quot;Table001 (Page 1)&quot;;Extended Properties=&quot;&quot;" command="SELECT * FROM [Table001 (Page 1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<sst xmlns="http://schemas.openxmlformats.org/spreadsheetml/2006/main" count="2134" uniqueCount="605">
  <si>
    <t>Trip ID</t>
  </si>
  <si>
    <t>Destination</t>
  </si>
  <si>
    <t>Start date</t>
  </si>
  <si>
    <t>End date</t>
  </si>
  <si>
    <t>Duration (days)</t>
  </si>
  <si>
    <t>Traveler name</t>
  </si>
  <si>
    <t>Traveler age</t>
  </si>
  <si>
    <t>Traveler gender</t>
  </si>
  <si>
    <t>Traveler nationality</t>
  </si>
  <si>
    <t>Accommodation type</t>
  </si>
  <si>
    <t>Accommodation cost</t>
  </si>
  <si>
    <t>Transportation type</t>
  </si>
  <si>
    <t>Transportation cost</t>
  </si>
  <si>
    <t>London, UK</t>
  </si>
  <si>
    <t>John Smith</t>
  </si>
  <si>
    <t>Male</t>
  </si>
  <si>
    <t>American</t>
  </si>
  <si>
    <t>Hotel</t>
  </si>
  <si>
    <t>Flight</t>
  </si>
  <si>
    <t>Phuket, Thailand</t>
  </si>
  <si>
    <t>Jane Doe</t>
  </si>
  <si>
    <t>Female</t>
  </si>
  <si>
    <t>Canadian</t>
  </si>
  <si>
    <t>Resort</t>
  </si>
  <si>
    <t>Bali, Indonesia</t>
  </si>
  <si>
    <t>David Lee</t>
  </si>
  <si>
    <t>Korean</t>
  </si>
  <si>
    <t>Villa</t>
  </si>
  <si>
    <t>New York, USA</t>
  </si>
  <si>
    <t>Sarah Johnson</t>
  </si>
  <si>
    <t>British</t>
  </si>
  <si>
    <t>Tokyo, Japan</t>
  </si>
  <si>
    <t>Kim Nguyen</t>
  </si>
  <si>
    <t>Vietnamese</t>
  </si>
  <si>
    <t>Airbnb</t>
  </si>
  <si>
    <t>Train</t>
  </si>
  <si>
    <t>Paris, France</t>
  </si>
  <si>
    <t>Michael Brown</t>
  </si>
  <si>
    <t>Sydney, Australia</t>
  </si>
  <si>
    <t>Emily Davis</t>
  </si>
  <si>
    <t>Australian</t>
  </si>
  <si>
    <t>Hostel</t>
  </si>
  <si>
    <t>Rio de Janeiro, Brazil</t>
  </si>
  <si>
    <t>Lucas Santos</t>
  </si>
  <si>
    <t>Brazilian</t>
  </si>
  <si>
    <t>Amsterdam, Netherlands</t>
  </si>
  <si>
    <t>Laura Janssen</t>
  </si>
  <si>
    <t>Dutch</t>
  </si>
  <si>
    <t>Dubai, United Arab Emirates</t>
  </si>
  <si>
    <t>Mohammed Ali</t>
  </si>
  <si>
    <t>Emirati</t>
  </si>
  <si>
    <t>Cancun, Mexico</t>
  </si>
  <si>
    <t>Ana Hernandez</t>
  </si>
  <si>
    <t>Mexican</t>
  </si>
  <si>
    <t>Barcelona, Spain</t>
  </si>
  <si>
    <t>Carlos Garcia</t>
  </si>
  <si>
    <t>Spanish</t>
  </si>
  <si>
    <t>Honolulu, Hawaii</t>
  </si>
  <si>
    <t>Lily Wong</t>
  </si>
  <si>
    <t>Chinese</t>
  </si>
  <si>
    <t>Berlin, Germany</t>
  </si>
  <si>
    <t>Hans Mueller</t>
  </si>
  <si>
    <t>German</t>
  </si>
  <si>
    <t>Marrakech, Morocco</t>
  </si>
  <si>
    <t>Fatima Khouri</t>
  </si>
  <si>
    <t>Moroccan</t>
  </si>
  <si>
    <t>Riad</t>
  </si>
  <si>
    <t>Edinburgh, Scotland</t>
  </si>
  <si>
    <t>James MacKenzie</t>
  </si>
  <si>
    <t>Scottish</t>
  </si>
  <si>
    <t>Paris</t>
  </si>
  <si>
    <t>Plane</t>
  </si>
  <si>
    <t>Bali</t>
  </si>
  <si>
    <t>Michael Chang</t>
  </si>
  <si>
    <t>London</t>
  </si>
  <si>
    <t>Olivia Rodriguez</t>
  </si>
  <si>
    <t>Tokyo</t>
  </si>
  <si>
    <t>Kenji Nakamura</t>
  </si>
  <si>
    <t>Japanese</t>
  </si>
  <si>
    <t>New York</t>
  </si>
  <si>
    <t>Emily Lee</t>
  </si>
  <si>
    <t>Bus</t>
  </si>
  <si>
    <t>Sydney</t>
  </si>
  <si>
    <t>James Wilson</t>
  </si>
  <si>
    <t>Rome</t>
  </si>
  <si>
    <t>Sofia Russo</t>
  </si>
  <si>
    <t>Italian</t>
  </si>
  <si>
    <t>Bangkok</t>
  </si>
  <si>
    <t>Raj Patel</t>
  </si>
  <si>
    <t>Indian</t>
  </si>
  <si>
    <t>Lily Nguyen</t>
  </si>
  <si>
    <t>Hawaii</t>
  </si>
  <si>
    <t>David Kim</t>
  </si>
  <si>
    <t>Barcelona</t>
  </si>
  <si>
    <t>Maria Garcia</t>
  </si>
  <si>
    <t>Japan</t>
  </si>
  <si>
    <t>Alice Smith</t>
  </si>
  <si>
    <t>Thailand</t>
  </si>
  <si>
    <t>Bob Johnson</t>
  </si>
  <si>
    <t>France</t>
  </si>
  <si>
    <t>Charlie Lee</t>
  </si>
  <si>
    <t>Car rental</t>
  </si>
  <si>
    <t>Australia</t>
  </si>
  <si>
    <t>Emma Davis</t>
  </si>
  <si>
    <t>Brazil</t>
  </si>
  <si>
    <t>Olivia Martin</t>
  </si>
  <si>
    <t>Greece</t>
  </si>
  <si>
    <t>Harry Wilson</t>
  </si>
  <si>
    <t>Egypt</t>
  </si>
  <si>
    <t>Sophia Lee</t>
  </si>
  <si>
    <t>Mexico</t>
  </si>
  <si>
    <t>James Brown</t>
  </si>
  <si>
    <t>Italy</t>
  </si>
  <si>
    <t>Mia Johnson</t>
  </si>
  <si>
    <t>Spain</t>
  </si>
  <si>
    <t>William Davis</t>
  </si>
  <si>
    <t>Canada</t>
  </si>
  <si>
    <t>Amelia Brown</t>
  </si>
  <si>
    <t>Adam Lee</t>
  </si>
  <si>
    <t>Sarah Wong</t>
  </si>
  <si>
    <t>Maria Silva</t>
  </si>
  <si>
    <t>Peter Brown</t>
  </si>
  <si>
    <t>Emma Garcia</t>
  </si>
  <si>
    <t>New York City, USA</t>
  </si>
  <si>
    <t>Michael Davis</t>
  </si>
  <si>
    <t>Bangkok, Thailand</t>
  </si>
  <si>
    <t>Nina Patel</t>
  </si>
  <si>
    <t>Vancouver, Canada</t>
  </si>
  <si>
    <t>Kevin Kim</t>
  </si>
  <si>
    <t>Laura van den Berg</t>
  </si>
  <si>
    <t>Jennifer Nguyen</t>
  </si>
  <si>
    <t>Sydney, AUS</t>
  </si>
  <si>
    <t>Rachel Lee</t>
  </si>
  <si>
    <t>South Korean</t>
  </si>
  <si>
    <t>Jessica Wong</t>
  </si>
  <si>
    <t>Felipe Almeida</t>
  </si>
  <si>
    <t>Nisa Patel</t>
  </si>
  <si>
    <t>Ben Smith</t>
  </si>
  <si>
    <t>Laura Gomez</t>
  </si>
  <si>
    <t>Seoul, South Korea</t>
  </si>
  <si>
    <t>Park Min Woo</t>
  </si>
  <si>
    <t>Subway</t>
  </si>
  <si>
    <t>Los Angeles, USA</t>
  </si>
  <si>
    <t>Michael Chen</t>
  </si>
  <si>
    <t>Rome, Italy</t>
  </si>
  <si>
    <t>Sofia Rossi</t>
  </si>
  <si>
    <t>Rachel Sanders</t>
  </si>
  <si>
    <t>Cape Town</t>
  </si>
  <si>
    <t>Emily Watson</t>
  </si>
  <si>
    <t>Vacation rental</t>
  </si>
  <si>
    <t>Ana Rodriguez</t>
  </si>
  <si>
    <t>Tom Wilson</t>
  </si>
  <si>
    <t>Olivia Green</t>
  </si>
  <si>
    <t>French</t>
  </si>
  <si>
    <t>James Chen</t>
  </si>
  <si>
    <t>Lila Patel</t>
  </si>
  <si>
    <t>Marco Rossi</t>
  </si>
  <si>
    <t>Sarah Brown</t>
  </si>
  <si>
    <t>Sarah Lee</t>
  </si>
  <si>
    <t>500 USD</t>
  </si>
  <si>
    <t>800 USD</t>
  </si>
  <si>
    <t>Alex Kim</t>
  </si>
  <si>
    <t>1000 USD</t>
  </si>
  <si>
    <t>200 USD</t>
  </si>
  <si>
    <t>Maria Hernandez</t>
  </si>
  <si>
    <t>1200 USD</t>
  </si>
  <si>
    <t>700 USD</t>
  </si>
  <si>
    <t>Cape Town, SA</t>
  </si>
  <si>
    <t>Mark Johnson</t>
  </si>
  <si>
    <t>South African</t>
  </si>
  <si>
    <t>Guesthouse</t>
  </si>
  <si>
    <t>400 USD</t>
  </si>
  <si>
    <t>Car</t>
  </si>
  <si>
    <t>300 USD</t>
  </si>
  <si>
    <t>Amanda Chen</t>
  </si>
  <si>
    <t>Taiwanese</t>
  </si>
  <si>
    <t>600 USD</t>
  </si>
  <si>
    <t>Sydney, Aus</t>
  </si>
  <si>
    <t>900 USD</t>
  </si>
  <si>
    <t>Bangkok, Thai</t>
  </si>
  <si>
    <t>Nana Kwon</t>
  </si>
  <si>
    <t>Tom Hanks</t>
  </si>
  <si>
    <t>1500 USD</t>
  </si>
  <si>
    <t>Phuket, Thai</t>
  </si>
  <si>
    <t>Emma Watson</t>
  </si>
  <si>
    <t>James Kim</t>
  </si>
  <si>
    <t>Dubai</t>
  </si>
  <si>
    <t>Fatima Ahmed</t>
  </si>
  <si>
    <t>Liam Nguyen</t>
  </si>
  <si>
    <t>100 USD</t>
  </si>
  <si>
    <t>Giulia Rossi</t>
  </si>
  <si>
    <t>350 USD</t>
  </si>
  <si>
    <t>Putra Wijaya</t>
  </si>
  <si>
    <t>Indonesian</t>
  </si>
  <si>
    <t>Seoul</t>
  </si>
  <si>
    <t>Kim Min-ji</t>
  </si>
  <si>
    <t>150 USD</t>
  </si>
  <si>
    <t>USA</t>
  </si>
  <si>
    <t>Emily Johnson</t>
  </si>
  <si>
    <t>South Korea</t>
  </si>
  <si>
    <t>UK</t>
  </si>
  <si>
    <t>Michael Wong</t>
  </si>
  <si>
    <t>China</t>
  </si>
  <si>
    <t>Jessica Chen</t>
  </si>
  <si>
    <t>Taiwan</t>
  </si>
  <si>
    <t>Ken Tanaka</t>
  </si>
  <si>
    <t>Rio de Janeiro</t>
  </si>
  <si>
    <t>Rodrigo Oliveira</t>
  </si>
  <si>
    <t>Olivia Kim</t>
  </si>
  <si>
    <t>Amsterdam</t>
  </si>
  <si>
    <t>Robert Mueller</t>
  </si>
  <si>
    <t>Germany</t>
  </si>
  <si>
    <t>Hong Kong</t>
  </si>
  <si>
    <t>Lisa Chen</t>
  </si>
  <si>
    <t>Emily Wong</t>
  </si>
  <si>
    <t>United Kingdom</t>
  </si>
  <si>
    <t>Phuket</t>
  </si>
  <si>
    <t>Mark Tan</t>
  </si>
  <si>
    <t>Singapore</t>
  </si>
  <si>
    <t>Emma Lee</t>
  </si>
  <si>
    <t>Santorini</t>
  </si>
  <si>
    <t>George Chen</t>
  </si>
  <si>
    <t>Ferry</t>
  </si>
  <si>
    <t>Sophia Kim</t>
  </si>
  <si>
    <t>United Arab Emirates</t>
  </si>
  <si>
    <t>Phnom Penh</t>
  </si>
  <si>
    <t>Alex Ng</t>
  </si>
  <si>
    <t>Cambodia</t>
  </si>
  <si>
    <t>Cindy Chen</t>
  </si>
  <si>
    <t>Emily Kim</t>
  </si>
  <si>
    <t>Frank Li</t>
  </si>
  <si>
    <t>Athens, Greece</t>
  </si>
  <si>
    <t>Gina Lee</t>
  </si>
  <si>
    <t>Henry Kim</t>
  </si>
  <si>
    <t>Isabella Chen</t>
  </si>
  <si>
    <t>Jack Smith</t>
  </si>
  <si>
    <t>Katie Johnson</t>
  </si>
  <si>
    <t>John Doe</t>
  </si>
  <si>
    <t>Airplane</t>
  </si>
  <si>
    <t>Jane Smith</t>
  </si>
  <si>
    <t>Cape Town, South Africa</t>
  </si>
  <si>
    <t>Michael Johnson</t>
  </si>
  <si>
    <t>Jose Perez</t>
  </si>
  <si>
    <t>Emma Wilson</t>
  </si>
  <si>
    <t>Ryan Chen</t>
  </si>
  <si>
    <t>Sofia Rodriguez</t>
  </si>
  <si>
    <t>Auckland, New Zealand</t>
  </si>
  <si>
    <t>William Brown</t>
  </si>
  <si>
    <t>New Zealander</t>
  </si>
  <si>
    <t>DATA PREPROCESSING</t>
  </si>
  <si>
    <t>1. Create "Check Empty Cell" using VBA to check and highlight empty cells</t>
  </si>
  <si>
    <t>Age</t>
  </si>
  <si>
    <t>Gender</t>
  </si>
  <si>
    <t>Nationality</t>
  </si>
  <si>
    <t>2. Deal with the empty cells by:</t>
  </si>
  <si>
    <t>_ Delete the rows if all columns are empty</t>
  </si>
  <si>
    <t>_ Refer to dataset to set the values for a row that lacks information of 2 columns</t>
  </si>
  <si>
    <t>Accommodation Cost</t>
  </si>
  <si>
    <t>Row Labels</t>
  </si>
  <si>
    <t>Grand Total</t>
  </si>
  <si>
    <t>Cancun</t>
  </si>
  <si>
    <t>Honolulu</t>
  </si>
  <si>
    <t>Berlin</t>
  </si>
  <si>
    <t>Marrakech</t>
  </si>
  <si>
    <t>Edinburgh</t>
  </si>
  <si>
    <t>New York City</t>
  </si>
  <si>
    <t>Vancouver</t>
  </si>
  <si>
    <t>Los Angeles</t>
  </si>
  <si>
    <t>Athens</t>
  </si>
  <si>
    <t>Auckland</t>
  </si>
  <si>
    <t>Travel Country</t>
  </si>
  <si>
    <t>South Africa</t>
  </si>
  <si>
    <t>3. Format all data into the table and use "Filter" to check data consistency</t>
  </si>
  <si>
    <t>_ In destination, the information is not complete. Some columns have city without country or country without city =&gt; Use "Replace with" to determine all travel countries</t>
  </si>
  <si>
    <t>_ In transportation type, there are different phrases to describe "airplane", "car" or "subway" =&gt; Use "Replace with" to make data consistent</t>
  </si>
  <si>
    <t>_ In columns containing the cost, some has USD while some does not =&gt; Use "Text to Columns" to remove the USD sign and format data into "Number"</t>
  </si>
  <si>
    <t>DATA ANALYSIS USING PIVOT TABLE</t>
  </si>
  <si>
    <t>Accomodation Cost/Day</t>
  </si>
  <si>
    <t>Transportation Cost/Day</t>
  </si>
  <si>
    <t>5. Check all data again to make sure there is no empty cells, duplicate or meaningless values</t>
  </si>
  <si>
    <t>CONTEXT OF TRAVEL DATA ANALYSIS</t>
  </si>
  <si>
    <t>Indonesia</t>
  </si>
  <si>
    <t>Netherlands</t>
  </si>
  <si>
    <t>Morocco</t>
  </si>
  <si>
    <t>Scotland</t>
  </si>
  <si>
    <t>New Zealand</t>
  </si>
  <si>
    <t>Age Range</t>
  </si>
  <si>
    <t>Europe</t>
  </si>
  <si>
    <t>Africa</t>
  </si>
  <si>
    <t>Asia</t>
  </si>
  <si>
    <t>North America</t>
  </si>
  <si>
    <t>Albania</t>
  </si>
  <si>
    <t>Algerie</t>
  </si>
  <si>
    <t>Afghanistan</t>
  </si>
  <si>
    <t>American Samoa</t>
  </si>
  <si>
    <t>Anguilla</t>
  </si>
  <si>
    <t>Antarctica</t>
  </si>
  <si>
    <t>Andorra</t>
  </si>
  <si>
    <t>Angola</t>
  </si>
  <si>
    <t>Bahrain</t>
  </si>
  <si>
    <t>Antigua &amp; Barbuda</t>
  </si>
  <si>
    <t>Argentina</t>
  </si>
  <si>
    <t>Armenia</t>
  </si>
  <si>
    <t>Benin</t>
  </si>
  <si>
    <t>Bangladesh</t>
  </si>
  <si>
    <t>Christmas Island</t>
  </si>
  <si>
    <t>Aruba</t>
  </si>
  <si>
    <t>Bolivia</t>
  </si>
  <si>
    <t>Austria</t>
  </si>
  <si>
    <t>Botswana</t>
  </si>
  <si>
    <t>Bhutan</t>
  </si>
  <si>
    <t>Cocos Islands</t>
  </si>
  <si>
    <t>Bahamas</t>
  </si>
  <si>
    <t>Bouvet Island</t>
  </si>
  <si>
    <t>Azerbaijan</t>
  </si>
  <si>
    <t>Burkina Faso</t>
  </si>
  <si>
    <t>British Indian Ocean
Territory</t>
  </si>
  <si>
    <t>Cook Islands</t>
  </si>
  <si>
    <t>Barbados</t>
  </si>
  <si>
    <t>Belarus</t>
  </si>
  <si>
    <t>Burundi</t>
  </si>
  <si>
    <t>Brunei Darussalam</t>
  </si>
  <si>
    <t>Fiji</t>
  </si>
  <si>
    <t>Belize</t>
  </si>
  <si>
    <t>Chile</t>
  </si>
  <si>
    <t>Belgium</t>
  </si>
  <si>
    <t>Cameroon</t>
  </si>
  <si>
    <t>French Polynesia</t>
  </si>
  <si>
    <t>Bermuda</t>
  </si>
  <si>
    <t>Colombia</t>
  </si>
  <si>
    <t>Bosnia-Hercegovina</t>
  </si>
  <si>
    <t>Cape Verde</t>
  </si>
  <si>
    <t>Guam</t>
  </si>
  <si>
    <t>Bonaire,
St. Eustatius, Saba</t>
  </si>
  <si>
    <t>Ecuador</t>
  </si>
  <si>
    <t>Bulgaria</t>
  </si>
  <si>
    <t>Central African
Republic</t>
  </si>
  <si>
    <t>Hong Kong SAR</t>
  </si>
  <si>
    <t>Heard and
McDonald Islands</t>
  </si>
  <si>
    <t>British Virgin Islands</t>
  </si>
  <si>
    <t>Falkland Islands</t>
  </si>
  <si>
    <t>Croatia</t>
  </si>
  <si>
    <t>Chad</t>
  </si>
  <si>
    <t>India</t>
  </si>
  <si>
    <t>Kiribati</t>
  </si>
  <si>
    <t>French Guiana</t>
  </si>
  <si>
    <t>Cyprus</t>
  </si>
  <si>
    <t>Comoros</t>
  </si>
  <si>
    <t>Marshall Islands</t>
  </si>
  <si>
    <t>Cayman Islands</t>
  </si>
  <si>
    <t>Guyana</t>
  </si>
  <si>
    <t>Czech Republic</t>
  </si>
  <si>
    <t>Congo</t>
  </si>
  <si>
    <t>Iraq</t>
  </si>
  <si>
    <t>Micronesia</t>
  </si>
  <si>
    <t>Costa Rica</t>
  </si>
  <si>
    <t>Paraguay</t>
  </si>
  <si>
    <t>Denmark</t>
  </si>
  <si>
    <t>Cote d‘Ivoire</t>
  </si>
  <si>
    <t>Islamic Republic
of Iran</t>
  </si>
  <si>
    <t>Nauru</t>
  </si>
  <si>
    <t>Cuba</t>
  </si>
  <si>
    <t>Peru</t>
  </si>
  <si>
    <t>Estonia</t>
  </si>
  <si>
    <t>Democratic</t>
  </si>
  <si>
    <t>Israel</t>
  </si>
  <si>
    <t>New Caledonia</t>
  </si>
  <si>
    <t>Curacao</t>
  </si>
  <si>
    <t>Sth. Georgia</t>
  </si>
  <si>
    <t>Republic of Congo</t>
  </si>
  <si>
    <t>&amp; Sth.
SandwichIslands</t>
  </si>
  <si>
    <t>Faroe Islands</t>
  </si>
  <si>
    <t>Djibouti</t>
  </si>
  <si>
    <t>Dominica</t>
  </si>
  <si>
    <t>Suriname</t>
  </si>
  <si>
    <t>Finland</t>
  </si>
  <si>
    <t>Jordan</t>
  </si>
  <si>
    <t>Niue</t>
  </si>
  <si>
    <t>El Salvador</t>
  </si>
  <si>
    <t>Uruguay</t>
  </si>
  <si>
    <t>Equatorial Guinea</t>
  </si>
  <si>
    <t>Kazakhstan</t>
  </si>
  <si>
    <t>Norfolk Island</t>
  </si>
  <si>
    <t>Greenland</t>
  </si>
  <si>
    <t>Venezuela</t>
  </si>
  <si>
    <t>Georgia</t>
  </si>
  <si>
    <t>Eritrea</t>
  </si>
  <si>
    <t>Korea, Dem. P. R.</t>
  </si>
  <si>
    <t>Northern Mariana
Islands</t>
  </si>
  <si>
    <t>Grenada</t>
  </si>
  <si>
    <t>Ethiopia</t>
  </si>
  <si>
    <t>Kuwait</t>
  </si>
  <si>
    <t>Palau</t>
  </si>
  <si>
    <t>Guadeloupe</t>
  </si>
  <si>
    <t>Gibraltar</t>
  </si>
  <si>
    <t>French Southern
Territories</t>
  </si>
  <si>
    <t>Kyrgyzstan</t>
  </si>
  <si>
    <t>Papua-New Guinea</t>
  </si>
  <si>
    <t>Guatemala</t>
  </si>
  <si>
    <t>G.S.P.L.A.J. Libya</t>
  </si>
  <si>
    <t>Laos</t>
  </si>
  <si>
    <t>Pitcairn Island</t>
  </si>
  <si>
    <t>Haiti</t>
  </si>
  <si>
    <t>Hungary</t>
  </si>
  <si>
    <t>Gabon</t>
  </si>
  <si>
    <t>Lebanon</t>
  </si>
  <si>
    <t>Samoa</t>
  </si>
  <si>
    <t>Honduras</t>
  </si>
  <si>
    <t>Iceland</t>
  </si>
  <si>
    <t>Gambia</t>
  </si>
  <si>
    <t>Macau</t>
  </si>
  <si>
    <t>Solomon Islands</t>
  </si>
  <si>
    <t>Jamaica</t>
  </si>
  <si>
    <t>Ghana</t>
  </si>
  <si>
    <t>Malaysia</t>
  </si>
  <si>
    <t>Tokelau</t>
  </si>
  <si>
    <t>Martinique</t>
  </si>
  <si>
    <t>Latvia</t>
  </si>
  <si>
    <t>Guinea</t>
  </si>
  <si>
    <t>Maldives</t>
  </si>
  <si>
    <t>Tonga</t>
  </si>
  <si>
    <t>Liechtenstein</t>
  </si>
  <si>
    <t>Guinea-Bissau</t>
  </si>
  <si>
    <t>Mongolia</t>
  </si>
  <si>
    <t>Tuvalu</t>
  </si>
  <si>
    <t>Montserrat</t>
  </si>
  <si>
    <t>Lithuania</t>
  </si>
  <si>
    <t>Kenya</t>
  </si>
  <si>
    <t>Myanmar</t>
  </si>
  <si>
    <t>US Minor Outlying
Islands</t>
  </si>
  <si>
    <t>Netherland Antilles</t>
  </si>
  <si>
    <t>Luxembourg</t>
  </si>
  <si>
    <t>Lesotho</t>
  </si>
  <si>
    <t>Nepal</t>
  </si>
  <si>
    <t>Vanuatu</t>
  </si>
  <si>
    <t>Nicaragua</t>
  </si>
  <si>
    <t>Macedonia</t>
  </si>
  <si>
    <t>Liberia</t>
  </si>
  <si>
    <t>Pakistan</t>
  </si>
  <si>
    <t>Wallis &amp; Futuna
Islands</t>
  </si>
  <si>
    <t>Panama</t>
  </si>
  <si>
    <t>Malta</t>
  </si>
  <si>
    <t>Madagascar</t>
  </si>
  <si>
    <t>Palestinian Occ.
Territories</t>
  </si>
  <si>
    <t>Puerto Rico</t>
  </si>
  <si>
    <t>Moldova</t>
  </si>
  <si>
    <t>Malawi</t>
  </si>
  <si>
    <t>Philippines</t>
  </si>
  <si>
    <t>Republica
Dominicana</t>
  </si>
  <si>
    <t>Monaco</t>
  </si>
  <si>
    <t>Mali</t>
  </si>
  <si>
    <t>Qatar</t>
  </si>
  <si>
    <t>St. Kitts-Nevis</t>
  </si>
  <si>
    <t>Mauritania</t>
  </si>
  <si>
    <t>St. Lucia</t>
  </si>
  <si>
    <t>Norway</t>
  </si>
  <si>
    <t>Mauritius</t>
  </si>
  <si>
    <t>Republic of Yemen</t>
  </si>
  <si>
    <t>St. Maarten</t>
  </si>
  <si>
    <t>Poland</t>
  </si>
  <si>
    <t>Mayotte</t>
  </si>
  <si>
    <t>St. Martin</t>
  </si>
  <si>
    <t>Portugal</t>
  </si>
  <si>
    <t>St. Pierre and
Miquelon</t>
  </si>
  <si>
    <t>Republic of Ireland</t>
  </si>
  <si>
    <t>Mozambique</t>
  </si>
  <si>
    <t>Sri Lanka</t>
  </si>
  <si>
    <t>St. Vincent</t>
  </si>
  <si>
    <t>Republic of Kosovo</t>
  </si>
  <si>
    <t>Namibia</t>
  </si>
  <si>
    <t>Sult. of Oman</t>
  </si>
  <si>
    <t>Trinidad and Tobago</t>
  </si>
  <si>
    <t>Republic of
Montenegro</t>
  </si>
  <si>
    <t>Niger</t>
  </si>
  <si>
    <t>Syria</t>
  </si>
  <si>
    <t>Turks &amp; Caicos
Islands</t>
  </si>
  <si>
    <t>Republic of Serbia</t>
  </si>
  <si>
    <t>Nigeria</t>
  </si>
  <si>
    <t>Taiwan R.O.C.</t>
  </si>
  <si>
    <t>Romania</t>
  </si>
  <si>
    <t>Reunion</t>
  </si>
  <si>
    <t>Tajikistan</t>
  </si>
  <si>
    <t>Virgin Islands U.S.</t>
  </si>
  <si>
    <t>Russia</t>
  </si>
  <si>
    <t>Rwanda</t>
  </si>
  <si>
    <t>San Marino</t>
  </si>
  <si>
    <t>Sao Tome &amp; Principe</t>
  </si>
  <si>
    <t>Timor-Leste</t>
  </si>
  <si>
    <t>Slovakia</t>
  </si>
  <si>
    <t>Senegal</t>
  </si>
  <si>
    <t>Turkmenistan</t>
  </si>
  <si>
    <t>Slovenia</t>
  </si>
  <si>
    <t>Seychelles</t>
  </si>
  <si>
    <t>U.A.E.</t>
  </si>
  <si>
    <t>Sierra Leone</t>
  </si>
  <si>
    <t>Uzbekistan</t>
  </si>
  <si>
    <t>Svalbard and Jan
Mayen Islands</t>
  </si>
  <si>
    <t>Somalia</t>
  </si>
  <si>
    <t>Vietnam</t>
  </si>
  <si>
    <t>Sweden</t>
  </si>
  <si>
    <t>Switzerland</t>
  </si>
  <si>
    <t>South Sudan</t>
  </si>
  <si>
    <t>Turkey</t>
  </si>
  <si>
    <t>St. Helena</t>
  </si>
  <si>
    <t>Ukraine</t>
  </si>
  <si>
    <t>Sudan</t>
  </si>
  <si>
    <t>Swaziland</t>
  </si>
  <si>
    <t>Vatican City State</t>
  </si>
  <si>
    <t>Tanzania</t>
  </si>
  <si>
    <t>Togo</t>
  </si>
  <si>
    <t>Tunisia</t>
  </si>
  <si>
    <t>Uganda</t>
  </si>
  <si>
    <t>Western Sahara</t>
  </si>
  <si>
    <t>Zambia</t>
  </si>
  <si>
    <t>Zimbabwe</t>
  </si>
  <si>
    <t>Oceania</t>
  </si>
  <si>
    <t>South America</t>
  </si>
  <si>
    <t>Continent</t>
  </si>
  <si>
    <t>_ Min travel days for both male and female are 5-6 days</t>
  </si>
  <si>
    <t>_ Average travel days for both male and female are 7-8 days</t>
  </si>
  <si>
    <t>As member of marketing team in travel company, I will analyze the dataset to advertise suitable travel package that match with a popular number of customers by age and gender.</t>
  </si>
  <si>
    <t>GOALS</t>
  </si>
  <si>
    <t>1. How long do people (by age, gender) spend for travel? Which continents are popular to travellers (by age, genders)?</t>
  </si>
  <si>
    <t xml:space="preserve">2. Which accomodation type &amp; transportation type do the travelers (by age, gender) prefer? </t>
  </si>
  <si>
    <t>Gender by Age</t>
  </si>
  <si>
    <t>Count of Travellers by Continents</t>
  </si>
  <si>
    <t xml:space="preserve"> </t>
  </si>
  <si>
    <t>_ Asia and Europe are two continents that lure the most travellers</t>
  </si>
  <si>
    <t>_ Young adults tends to travel to Asia while Middle-Aged Adults tends to travel to Europe</t>
  </si>
  <si>
    <t>TRAVEL DURATION (DAYS) BY AGE &amp; GENDER</t>
  </si>
  <si>
    <t>THE NUMBER OF TRAVELLERS (BASED ON AGE &amp; GENDER) BY CONTINENTS</t>
  </si>
  <si>
    <t>TRAVEL DATA ANALYSIS</t>
  </si>
  <si>
    <t>Goal 1: How long do people (by age, gender) spend for travel? Which continents are popular to travellers (by age, genders)?</t>
  </si>
  <si>
    <t xml:space="preserve">Goal 2: Which accomodation type &amp; transportation type do the travelers (by age, gender) prefer? </t>
  </si>
  <si>
    <t>CONCLUSION</t>
  </si>
  <si>
    <t>Count of Accommodation type</t>
  </si>
  <si>
    <t>Accomodation type</t>
  </si>
  <si>
    <t>Count of Transportation type</t>
  </si>
  <si>
    <t>Transportation Type</t>
  </si>
  <si>
    <t>Jun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</si>
  <si>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</si>
  <si>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</si>
  <si>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</si>
  <si>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</si>
  <si>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</si>
  <si>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</si>
  <si>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</si>
  <si>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</si>
  <si>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</si>
  <si>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May</t>
  </si>
  <si>
    <t>Dec</t>
  </si>
  <si>
    <t>Column1</t>
  </si>
  <si>
    <t>Column2</t>
  </si>
  <si>
    <t>Column3</t>
  </si>
  <si>
    <t>Column4</t>
  </si>
  <si>
    <t>Column5</t>
  </si>
  <si>
    <t>Column6</t>
  </si>
  <si>
    <t>Australia,
New Zealand,
Oceania</t>
  </si>
  <si>
    <t>South America,
Carribean,
Central America</t>
  </si>
  <si>
    <t>4. What months do travellers (by age, genders) often choose to travel?</t>
  </si>
  <si>
    <t>Month</t>
  </si>
  <si>
    <t xml:space="preserve">3. How much do travellers (by age, gender) often spend for accomodation &amp; transportation? </t>
  </si>
  <si>
    <t>Average Duration (days)</t>
  </si>
  <si>
    <t>Max Duration (days)</t>
  </si>
  <si>
    <t>Min Duration (days)</t>
  </si>
  <si>
    <t>ACCOMODATION TYPE BY GENDER &amp; AGE</t>
  </si>
  <si>
    <t>TRANSPORTATION TYPE BY GENDER &amp; AGE</t>
  </si>
  <si>
    <t>From the pivot table &amp; chart, we can see that:</t>
  </si>
  <si>
    <t>From the pivotable &amp; chart, we can see that:</t>
  </si>
  <si>
    <t>while the middle-aged ones prefer hotel.</t>
  </si>
  <si>
    <t>while the older generations prefer hotel.</t>
  </si>
  <si>
    <t>Avg Accomodation Cost/Day</t>
  </si>
  <si>
    <t>Avg Transportation Cost/Day</t>
  </si>
  <si>
    <t>Average Cost of Accomodation and Transportation per Day by Gender &amp; Age</t>
  </si>
  <si>
    <t>Middle-Aged</t>
  </si>
  <si>
    <t>Young</t>
  </si>
  <si>
    <t>Old</t>
  </si>
  <si>
    <t>From pivot table &amp; chart, we can see that, for accomodation and transportation:</t>
  </si>
  <si>
    <t>_ Young female tend to spend the most (about $315/day).</t>
  </si>
  <si>
    <t xml:space="preserve">_ Middle-aged male tend to spend the most (about $310/day), while the </t>
  </si>
  <si>
    <t>young ones tend to spend the least (about $161/day).</t>
  </si>
  <si>
    <t>_ Female tends to spend more than male. The younger a female is, the more she spends.</t>
  </si>
  <si>
    <t>In contrast, the younger a male is, the less he spends.</t>
  </si>
  <si>
    <t>4. What months do travellers (by age) often choose to travel?</t>
  </si>
  <si>
    <t>_ Old adults hardly travel during winter time (December to February).</t>
  </si>
  <si>
    <t>_ Most people tend to travel during May to September.</t>
  </si>
  <si>
    <t>Skillsets: data format, data cleaning, data analysis, excel functions, pivot table, chart visualization, simple VBA</t>
  </si>
  <si>
    <t>4. Add more columns to support analysis process:</t>
  </si>
  <si>
    <t>_  Add "Transportation Cost per day", "Accomodation Cost per day" columns to standardize the cost</t>
  </si>
  <si>
    <t>_ Add "Continent" column using IFS function to refer data from "Countries' Continents Data" worksheet</t>
  </si>
  <si>
    <t>_ Format the date from mm/dd/yyyy to mm for easier pivot table analysis</t>
  </si>
  <si>
    <t>Travel Month</t>
  </si>
  <si>
    <t>Count of Travel Month</t>
  </si>
  <si>
    <t>Number of Travellers by Month and Age</t>
  </si>
  <si>
    <t>Based on the analysis, I will suggest to advertise different travel package based on different customer demographic:</t>
  </si>
  <si>
    <t>_ Female from 17-30 years old tends to spend the longest holiday 2 (weeks)</t>
  </si>
  <si>
    <t>_ Airplane and subway are the most two popular transportation types regardless of gender.</t>
  </si>
  <si>
    <t>_ In male, hostel and hotel are the two most popular accomodation types. Young adults prefer hostel,</t>
  </si>
  <si>
    <t>_ Add "Age Range" to divide customers' age into 3 group: young (17-29), middle-aged (30-44), old(&gt;=45)</t>
  </si>
  <si>
    <t>_ In female, hotel and Airbnb are the two most popular accomodation types. Young adults prefer Airbnb,</t>
  </si>
  <si>
    <t>_ Young customers are likely to be attracted by travelling to Asian countries with accomodation types that bring freedom and affordability such as Airbnb or hostel.</t>
  </si>
  <si>
    <t>_ Middle-Aged customers are likely to be attracted by the trips to Europe with accomodation types that bring comfort, entertainment, and security such as hotel.</t>
  </si>
  <si>
    <t>_ Old adults usually hesitate to travel during cold weather from December to February.</t>
  </si>
  <si>
    <t>See details in "Goal 1", "Goal 2", "Goal 3", "Goal 4" Worksheets</t>
  </si>
  <si>
    <t>_ Young female would be a potential target for the travelling package that is longer than a week and contains high-quality of services.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</si>
</sst>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164" formatCode="m/yyyy"/>
    <numFmt numFmtId="165" formatCode="mmm"/>
  </numFmts>
  <fonts count="8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00206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14" fontId="0" fillId="0" borderId="0" xfId="0" applyNumberFormat="1"/>
    <xf numFmtId="6" fontId="0" fillId="0" borderId="0" xfId="0" applyNumberFormat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164" fontId="0" fillId="0" borderId="0" xfId="0" applyNumberFormat="1"/>
    <xf numFmtId="165" fontId="0" fillId="0" borderId="0" xfId="0" applyNumberFormat="1"/>
    <xf numFmtId="0" fontId="0" fillId="3" borderId="0" xfId="0" applyFill="1"/>
    <xf numFmtId="0" fontId="6" fillId="0" borderId="0" xfId="0" applyFont="1"/>
    <xf numFmtId="0" fontId="0" fillId="0" borderId="0" xfId="0" applyAlignment="1">
      <alignment horizontal="center"/>
    </xf>
    <xf numFmtId="0" fontId="7" fillId="0" borderId="0" xfId="0" applyFont="1"/>
    <xf numFmtId="165" fontId="0" fillId="0" borderId="0" xfId="0" applyNumberFormat="1" applyAlignment="1">
      <alignment horizontal="left"/>
    </xf>
    <xf numFmtId="0" fontId="6" fillId="0" borderId="0" xfId="0" applyFont="1" applyAlignment="1">
      <alignment horizontal="center"/>
    </xf>
    <xf numFmtId="0" fontId="0" fillId="2" borderId="0" xfId="0" applyFill="1" applyAlignment="1">
      <alignment horizontal="center"/>
    </xf>
    <xf numFmtId="0" fontId="6" fillId="2" borderId="0" xfId="0" applyFont="1" applyFill="1" applyAlignment="1">
      <alignment horizontal="center"/>
    </xf>
  </cellXfs>
  <cellStyles count="1">
    <cellStyle name="Normal" xfId="0" builtinId="0"/>
  </cellStyles>
  <dxfs count="4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65" formatCode="m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[Book1.xlsm]Goal 1!PivotTable16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TRAVEL DURATION</a:t>
            </a:r>
            <a:r>
              <a:rPr lang="en-US" baseline="0"/>
              <a:t> (DAYS) BY AGE &amp; GENDER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5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D9160C1B-21E7-49AE-A116-4C237BF4CC2E}" type="VALUE">
                  <a:rPr lang="en-US" b="1">
                    <a:solidFill>
                      <a:srgbClr val="FF0000"/>
                    </a:solidFill>
                  </a:rPr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[VALUE]</a:t>
                </a:fld>
                <a:endParaRPr lang="en-U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'Goal 1'!$B$5</c:f>
              <c:strCache>
                <c:ptCount val="1"/>
                <c:pt idx="0">
                  <c:v>Average Duration (days)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'Goal 1'!$A$6:$A$13</c:f>
              <c:multiLvlStrCache>
                <c:ptCount val="5"/>
                <c:lvl>
                  <c:pt idx="0">
                    <c:v>Middle-Aged</c:v>
                  </c:pt>
                  <c:pt idx="1">
                    <c:v>Young</c:v>
                  </c:pt>
                  <c:pt idx="2">
                    <c:v>Middle-Aged</c:v>
                  </c:pt>
                  <c:pt idx="3">
                    <c:v>Young</c:v>
                  </c:pt>
                  <c:pt idx="4">
                    <c:v>Old</c:v>
                  </c:pt>
                </c:lvl>
                <c:lvl>
                  <c:pt idx="0">
                    <c:v>Female</c:v>
                  </c:pt>
                  <c:pt idx="2">
                    <c:v>Male</c:v>
                  </c:pt>
                </c:lvl>
              </c:multiLvlStrCache>
            </c:multiLvlStrRef>
          </c:cat>
          <c:val>
            <c:numRef>
              <c:f>'Goal 1'!$B$6:$B$13</c:f>
              <c:numCache>
                <c:formatCode>0</c:formatCode>
                <c:ptCount val="5"/>
                <c:pt idx="0">
                  <c:v>7.6</c:v>
                </c:pt>
                <c:pt idx="1">
                  <c:v>7.8</c:v>
                </c:pt>
                <c:pt idx="2">
                  <c:v>7.1470588235294121</c:v>
                </c:pt>
                <c:pt idx="3">
                  <c:v>8</c:v>
                </c:pt>
                <c:pt idx="4">
                  <c:v>7.7142857142857144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11-4D2E-8938-042A94C7EBF5}"/>
            </c:ext>
          </c:extLst>
        </c:ser>
        <c:ser>
          <c:idx val="1"/>
          <c:order val="1"/>
          <c:tx>
            <c:strRef>
              <c:f>'Goal 1'!$C$5</c:f>
              <c:strCache>
                <c:ptCount val="1"/>
                <c:pt idx="0">
                  <c:v>Max Duration (days)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0011-4D2E-8938-042A94C7EBF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'Goal 1'!$A$6:$A$13</c:f>
              <c:multiLvlStrCache>
                <c:ptCount val="5"/>
                <c:lvl>
                  <c:pt idx="0">
                    <c:v>Middle-Aged</c:v>
                  </c:pt>
                  <c:pt idx="1">
                    <c:v>Young</c:v>
                  </c:pt>
                  <c:pt idx="2">
                    <c:v>Middle-Aged</c:v>
                  </c:pt>
                  <c:pt idx="3">
                    <c:v>Young</c:v>
                  </c:pt>
                  <c:pt idx="4">
                    <c:v>Old</c:v>
                  </c:pt>
                </c:lvl>
                <c:lvl>
                  <c:pt idx="0">
                    <c:v>Female</c:v>
                  </c:pt>
                  <c:pt idx="2">
                    <c:v>Male</c:v>
                  </c:pt>
                </c:lvl>
              </c:multiLvlStrCache>
            </c:multiLvlStrRef>
          </c:cat>
          <c:val>
            <c:numRef>
              <c:f>'Goal 1'!$C$6:$C$13</c:f>
              <c:numCache>
                <c:formatCode>0</c:formatCode>
                <c:ptCount val="5"/>
                <c:pt idx="0">
                  <c:v>11</c:v>
                </c:pt>
                <c:pt idx="1">
                  <c:v>14</c:v>
                </c:pt>
                <c:pt idx="2">
                  <c:v>11</c:v>
                </c:pt>
                <c:pt idx="3">
                  <c:v>11</c:v>
                </c:pt>
                <c:pt idx="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11-4D2E-8938-042A94C7EBF5}"/>
            </c:ext>
          </c:extLst>
        </c:ser>
        <c:ser>
          <c:idx val="2"/>
          <c:order val="2"/>
          <c:tx>
            <c:strRef>
              <c:f>'Goal 1'!$D$5</c:f>
              <c:strCache>
                <c:ptCount val="1"/>
                <c:pt idx="0">
                  <c:v>Min Duration (days)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'Goal 1'!$A$6:$A$13</c:f>
              <c:multiLvlStrCache>
                <c:ptCount val="5"/>
                <c:lvl>
                  <c:pt idx="0">
                    <c:v>Middle-Aged</c:v>
                  </c:pt>
                  <c:pt idx="1">
                    <c:v>Young</c:v>
                  </c:pt>
                  <c:pt idx="2">
                    <c:v>Middle-Aged</c:v>
                  </c:pt>
                  <c:pt idx="3">
                    <c:v>Young</c:v>
                  </c:pt>
                  <c:pt idx="4">
                    <c:v>Old</c:v>
                  </c:pt>
                </c:lvl>
                <c:lvl>
                  <c:pt idx="0">
                    <c:v>Female</c:v>
                  </c:pt>
                  <c:pt idx="2">
                    <c:v>Male</c:v>
                  </c:pt>
                </c:lvl>
              </c:multiLvlStrCache>
            </c:multiLvlStrRef>
          </c:cat>
          <c:val>
            <c:numRef>
              <c:f>'Goal 1'!$D$6:$D$13</c:f>
              <c:numCache>
                <c:formatCode>0</c:formatCode>
                <c:ptCount val="5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6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11-4D2E-8938-042A94C7EBF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68957583"/>
        <c:axId val="1368958831"/>
      </c:barChart>
      <c:catAx>
        <c:axId val="13689575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8958831"/>
        <c:crosses val="autoZero"/>
        <c:auto val="1"/>
        <c:lblAlgn val="ctr"/>
        <c:lblOffset val="100"/>
        <c:noMultiLvlLbl val="0"/>
      </c:catAx>
      <c:valAx>
        <c:axId val="1368958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89575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[Book1.xlsm]Goal 1!PivotTable18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 NUMBER OF</a:t>
            </a:r>
            <a:r>
              <a:rPr lang="en-US" baseline="0"/>
              <a:t> TRAVELLERS (BASED ON AGE &amp; GENDER) BY CONTINENTS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'Goal 1'!$G$5:$G$6</c:f>
              <c:strCache>
                <c:ptCount val="1"/>
                <c:pt idx="0">
                  <c:v>Africa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'Goal 1'!$F$7:$F$14</c:f>
              <c:multiLvlStrCache>
                <c:ptCount val="5"/>
                <c:lvl>
                  <c:pt idx="0">
                    <c:v>Middle-Aged</c:v>
                  </c:pt>
                  <c:pt idx="1">
                    <c:v>Young</c:v>
                  </c:pt>
                  <c:pt idx="2">
                    <c:v>Middle-Aged</c:v>
                  </c:pt>
                  <c:pt idx="3">
                    <c:v>Young</c:v>
                  </c:pt>
                  <c:pt idx="4">
                    <c:v>Old</c:v>
                  </c:pt>
                </c:lvl>
                <c:lvl>
                  <c:pt idx="0">
                    <c:v>Female</c:v>
                  </c:pt>
                  <c:pt idx="2">
                    <c:v>Male</c:v>
                  </c:pt>
                </c:lvl>
              </c:multiLvlStrCache>
            </c:multiLvlStrRef>
          </c:cat>
          <c:val>
            <c:numRef>
              <c:f>'Goal 1'!$G$7:$G$14</c:f>
              <c:numCache>
                <c:formatCode>General</c:formatCode>
                <c:ptCount val="5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CC-4730-9E2D-F187AD54273E}"/>
            </c:ext>
          </c:extLst>
        </c:ser>
        <c:ser>
          <c:idx val="1"/>
          <c:order val="1"/>
          <c:tx>
            <c:strRef>
              <c:f>'Goal 1'!$H$5:$H$6</c:f>
              <c:strCache>
                <c:ptCount val="1"/>
                <c:pt idx="0">
                  <c:v>Asia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'Goal 1'!$F$7:$F$14</c:f>
              <c:multiLvlStrCache>
                <c:ptCount val="5"/>
                <c:lvl>
                  <c:pt idx="0">
                    <c:v>Middle-Aged</c:v>
                  </c:pt>
                  <c:pt idx="1">
                    <c:v>Young</c:v>
                  </c:pt>
                  <c:pt idx="2">
                    <c:v>Middle-Aged</c:v>
                  </c:pt>
                  <c:pt idx="3">
                    <c:v>Young</c:v>
                  </c:pt>
                  <c:pt idx="4">
                    <c:v>Old</c:v>
                  </c:pt>
                </c:lvl>
                <c:lvl>
                  <c:pt idx="0">
                    <c:v>Female</c:v>
                  </c:pt>
                  <c:pt idx="2">
                    <c:v>Male</c:v>
                  </c:pt>
                </c:lvl>
              </c:multiLvlStrCache>
            </c:multiLvlStrRef>
          </c:cat>
          <c:val>
            <c:numRef>
              <c:f>'Goal 1'!$H$7:$H$14</c:f>
              <c:numCache>
                <c:formatCode>General</c:formatCode>
                <c:ptCount val="5"/>
                <c:pt idx="0">
                  <c:v>9</c:v>
                </c:pt>
                <c:pt idx="1">
                  <c:v>16</c:v>
                </c:pt>
                <c:pt idx="2">
                  <c:v>6</c:v>
                </c:pt>
                <c:pt idx="3">
                  <c:v>8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CC-4730-9E2D-F187AD54273E}"/>
            </c:ext>
          </c:extLst>
        </c:ser>
        <c:ser>
          <c:idx val="2"/>
          <c:order val="2"/>
          <c:tx>
            <c:strRef>
              <c:f>'Goal 1'!$I$5:$I$6</c:f>
              <c:strCache>
                <c:ptCount val="1"/>
                <c:pt idx="0">
                  <c:v>Europe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'Goal 1'!$F$7:$F$14</c:f>
              <c:multiLvlStrCache>
                <c:ptCount val="5"/>
                <c:lvl>
                  <c:pt idx="0">
                    <c:v>Middle-Aged</c:v>
                  </c:pt>
                  <c:pt idx="1">
                    <c:v>Young</c:v>
                  </c:pt>
                  <c:pt idx="2">
                    <c:v>Middle-Aged</c:v>
                  </c:pt>
                  <c:pt idx="3">
                    <c:v>Young</c:v>
                  </c:pt>
                  <c:pt idx="4">
                    <c:v>Old</c:v>
                  </c:pt>
                </c:lvl>
                <c:lvl>
                  <c:pt idx="0">
                    <c:v>Female</c:v>
                  </c:pt>
                  <c:pt idx="2">
                    <c:v>Male</c:v>
                  </c:pt>
                </c:lvl>
              </c:multiLvlStrCache>
            </c:multiLvlStrRef>
          </c:cat>
          <c:val>
            <c:numRef>
              <c:f>'Goal 1'!$I$7:$I$14</c:f>
              <c:numCache>
                <c:formatCode>General</c:formatCode>
                <c:ptCount val="5"/>
                <c:pt idx="0">
                  <c:v>17</c:v>
                </c:pt>
                <c:pt idx="1">
                  <c:v>6</c:v>
                </c:pt>
                <c:pt idx="2">
                  <c:v>14</c:v>
                </c:pt>
                <c:pt idx="3">
                  <c:v>6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CC-4730-9E2D-F187AD54273E}"/>
            </c:ext>
          </c:extLst>
        </c:ser>
        <c:ser>
          <c:idx val="3"/>
          <c:order val="3"/>
          <c:tx>
            <c:strRef>
              <c:f>'Goal 1'!$J$5:$J$6</c:f>
              <c:strCache>
                <c:ptCount val="1"/>
                <c:pt idx="0">
                  <c:v>North America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'Goal 1'!$F$7:$F$14</c:f>
              <c:multiLvlStrCache>
                <c:ptCount val="5"/>
                <c:lvl>
                  <c:pt idx="0">
                    <c:v>Middle-Aged</c:v>
                  </c:pt>
                  <c:pt idx="1">
                    <c:v>Young</c:v>
                  </c:pt>
                  <c:pt idx="2">
                    <c:v>Middle-Aged</c:v>
                  </c:pt>
                  <c:pt idx="3">
                    <c:v>Young</c:v>
                  </c:pt>
                  <c:pt idx="4">
                    <c:v>Old</c:v>
                  </c:pt>
                </c:lvl>
                <c:lvl>
                  <c:pt idx="0">
                    <c:v>Female</c:v>
                  </c:pt>
                  <c:pt idx="2">
                    <c:v>Male</c:v>
                  </c:pt>
                </c:lvl>
              </c:multiLvlStrCache>
            </c:multiLvlStrRef>
          </c:cat>
          <c:val>
            <c:numRef>
              <c:f>'Goal 1'!$J$7:$J$14</c:f>
              <c:numCache>
                <c:formatCode>General</c:formatCode>
                <c:ptCount val="5"/>
                <c:pt idx="0">
                  <c:v>3</c:v>
                </c:pt>
                <c:pt idx="1">
                  <c:v>7</c:v>
                </c:pt>
                <c:pt idx="2">
                  <c:v>5</c:v>
                </c:pt>
                <c:pt idx="3">
                  <c:v>3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CC-4730-9E2D-F187AD54273E}"/>
            </c:ext>
          </c:extLst>
        </c:ser>
        <c:ser>
          <c:idx val="4"/>
          <c:order val="4"/>
          <c:tx>
            <c:strRef>
              <c:f>'Goal 1'!$K$5:$K$6</c:f>
              <c:strCache>
                <c:ptCount val="1"/>
                <c:pt idx="0">
                  <c:v>Oceania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'Goal 1'!$F$7:$F$14</c:f>
              <c:multiLvlStrCache>
                <c:ptCount val="5"/>
                <c:lvl>
                  <c:pt idx="0">
                    <c:v>Middle-Aged</c:v>
                  </c:pt>
                  <c:pt idx="1">
                    <c:v>Young</c:v>
                  </c:pt>
                  <c:pt idx="2">
                    <c:v>Middle-Aged</c:v>
                  </c:pt>
                  <c:pt idx="3">
                    <c:v>Young</c:v>
                  </c:pt>
                  <c:pt idx="4">
                    <c:v>Old</c:v>
                  </c:pt>
                </c:lvl>
                <c:lvl>
                  <c:pt idx="0">
                    <c:v>Female</c:v>
                  </c:pt>
                  <c:pt idx="2">
                    <c:v>Male</c:v>
                  </c:pt>
                </c:lvl>
              </c:multiLvlStrCache>
            </c:multiLvlStrRef>
          </c:cat>
          <c:val>
            <c:numRef>
              <c:f>'Goal 1'!$K$7:$K$14</c:f>
              <c:numCache>
                <c:formatCode>General</c:formatCode>
                <c:ptCount val="5"/>
                <c:pt idx="0">
                  <c:v>3</c:v>
                </c:pt>
                <c:pt idx="1">
                  <c:v>3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CC-4730-9E2D-F187AD54273E}"/>
            </c:ext>
          </c:extLst>
        </c:ser>
        <c:ser>
          <c:idx val="5"/>
          <c:order val="5"/>
          <c:tx>
            <c:strRef>
              <c:f>'Goal 1'!$L$5:$L$6</c:f>
              <c:strCache>
                <c:ptCount val="1"/>
                <c:pt idx="0">
                  <c:v>South America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'Goal 1'!$F$7:$F$14</c:f>
              <c:multiLvlStrCache>
                <c:ptCount val="5"/>
                <c:lvl>
                  <c:pt idx="0">
                    <c:v>Middle-Aged</c:v>
                  </c:pt>
                  <c:pt idx="1">
                    <c:v>Young</c:v>
                  </c:pt>
                  <c:pt idx="2">
                    <c:v>Middle-Aged</c:v>
                  </c:pt>
                  <c:pt idx="3">
                    <c:v>Young</c:v>
                  </c:pt>
                  <c:pt idx="4">
                    <c:v>Old</c:v>
                  </c:pt>
                </c:lvl>
                <c:lvl>
                  <c:pt idx="0">
                    <c:v>Female</c:v>
                  </c:pt>
                  <c:pt idx="2">
                    <c:v>Male</c:v>
                  </c:pt>
                </c:lvl>
              </c:multiLvlStrCache>
            </c:multiLvlStrRef>
          </c:cat>
          <c:val>
            <c:numRef>
              <c:f>'Goal 1'!$L$7:$L$14</c:f>
              <c:numCache>
                <c:formatCode>General</c:formatCode>
                <c:ptCount val="5"/>
                <c:pt idx="0">
                  <c:v>2</c:v>
                </c:pt>
                <c:pt idx="2">
                  <c:v>3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CC-4730-9E2D-F187AD54273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69007087"/>
        <c:axId val="1369009583"/>
      </c:barChart>
      <c:catAx>
        <c:axId val="1369007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9009583"/>
        <c:crosses val="autoZero"/>
        <c:auto val="1"/>
        <c:lblAlgn val="ctr"/>
        <c:lblOffset val="100"/>
        <c:noMultiLvlLbl val="0"/>
      </c:catAx>
      <c:valAx>
        <c:axId val="1369009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9007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[Book1.xlsm]Goal 2!PivotTable1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</a:t>
            </a:r>
            <a:r>
              <a:rPr lang="en-US" baseline="0"/>
              <a:t> of Accomodation Type by Gender &amp; Age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>
              <a:lumMod val="95000"/>
              <a:lumOff val="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'Goal 2'!$B$5:$B$6</c:f>
              <c:strCache>
                <c:ptCount val="1"/>
                <c:pt idx="0">
                  <c:v>Airbnb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'Goal 2'!$A$7:$A$14</c:f>
              <c:multiLvlStrCache>
                <c:ptCount val="5"/>
                <c:lvl>
                  <c:pt idx="0">
                    <c:v>Middle-Aged</c:v>
                  </c:pt>
                  <c:pt idx="1">
                    <c:v>Young</c:v>
                  </c:pt>
                  <c:pt idx="2">
                    <c:v>Middle-Aged</c:v>
                  </c:pt>
                  <c:pt idx="3">
                    <c:v>Young</c:v>
                  </c:pt>
                  <c:pt idx="4">
                    <c:v>Old</c:v>
                  </c:pt>
                </c:lvl>
                <c:lvl>
                  <c:pt idx="0">
                    <c:v>Female</c:v>
                  </c:pt>
                  <c:pt idx="2">
                    <c:v>Male</c:v>
                  </c:pt>
                </c:lvl>
              </c:multiLvlStrCache>
            </c:multiLvlStrRef>
          </c:cat>
          <c:val>
            <c:numRef>
              <c:f>'Goal 2'!$B$7:$B$14</c:f>
              <c:numCache>
                <c:formatCode>General</c:formatCode>
                <c:ptCount val="5"/>
                <c:pt idx="0">
                  <c:v>5</c:v>
                </c:pt>
                <c:pt idx="1">
                  <c:v>14</c:v>
                </c:pt>
                <c:pt idx="2">
                  <c:v>5</c:v>
                </c:pt>
                <c:pt idx="3">
                  <c:v>6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A3-4BA6-89CA-C5BEEC66CEA7}"/>
            </c:ext>
          </c:extLst>
        </c:ser>
        <c:ser>
          <c:idx val="1"/>
          <c:order val="1"/>
          <c:tx>
            <c:strRef>
              <c:f>'Goal 2'!$C$5:$C$6</c:f>
              <c:strCache>
                <c:ptCount val="1"/>
                <c:pt idx="0">
                  <c:v>Guesthouse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'Goal 2'!$A$7:$A$14</c:f>
              <c:multiLvlStrCache>
                <c:ptCount val="5"/>
                <c:lvl>
                  <c:pt idx="0">
                    <c:v>Middle-Aged</c:v>
                  </c:pt>
                  <c:pt idx="1">
                    <c:v>Young</c:v>
                  </c:pt>
                  <c:pt idx="2">
                    <c:v>Middle-Aged</c:v>
                  </c:pt>
                  <c:pt idx="3">
                    <c:v>Young</c:v>
                  </c:pt>
                  <c:pt idx="4">
                    <c:v>Old</c:v>
                  </c:pt>
                </c:lvl>
                <c:lvl>
                  <c:pt idx="0">
                    <c:v>Female</c:v>
                  </c:pt>
                  <c:pt idx="2">
                    <c:v>Male</c:v>
                  </c:pt>
                </c:lvl>
              </c:multiLvlStrCache>
            </c:multiLvlStrRef>
          </c:cat>
          <c:val>
            <c:numRef>
              <c:f>'Goal 2'!$C$7:$C$14</c:f>
              <c:numCache>
                <c:formatCode>General</c:formatCode>
                <c:ptCount val="5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A3-4BA6-89CA-C5BEEC66CEA7}"/>
            </c:ext>
          </c:extLst>
        </c:ser>
        <c:ser>
          <c:idx val="2"/>
          <c:order val="2"/>
          <c:tx>
            <c:strRef>
              <c:f>'Goal 2'!$D$5:$D$6</c:f>
              <c:strCache>
                <c:ptCount val="1"/>
                <c:pt idx="0">
                  <c:v>Hostel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'Goal 2'!$A$7:$A$14</c:f>
              <c:multiLvlStrCache>
                <c:ptCount val="5"/>
                <c:lvl>
                  <c:pt idx="0">
                    <c:v>Middle-Aged</c:v>
                  </c:pt>
                  <c:pt idx="1">
                    <c:v>Young</c:v>
                  </c:pt>
                  <c:pt idx="2">
                    <c:v>Middle-Aged</c:v>
                  </c:pt>
                  <c:pt idx="3">
                    <c:v>Young</c:v>
                  </c:pt>
                  <c:pt idx="4">
                    <c:v>Old</c:v>
                  </c:pt>
                </c:lvl>
                <c:lvl>
                  <c:pt idx="0">
                    <c:v>Female</c:v>
                  </c:pt>
                  <c:pt idx="2">
                    <c:v>Male</c:v>
                  </c:pt>
                </c:lvl>
              </c:multiLvlStrCache>
            </c:multiLvlStrRef>
          </c:cat>
          <c:val>
            <c:numRef>
              <c:f>'Goal 2'!$D$7:$D$14</c:f>
              <c:numCache>
                <c:formatCode>General</c:formatCode>
                <c:ptCount val="5"/>
                <c:pt idx="0">
                  <c:v>5</c:v>
                </c:pt>
                <c:pt idx="1">
                  <c:v>4</c:v>
                </c:pt>
                <c:pt idx="2">
                  <c:v>5</c:v>
                </c:pt>
                <c:pt idx="3">
                  <c:v>7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BA3-4BA6-89CA-C5BEEC66CEA7}"/>
            </c:ext>
          </c:extLst>
        </c:ser>
        <c:ser>
          <c:idx val="3"/>
          <c:order val="3"/>
          <c:tx>
            <c:strRef>
              <c:f>'Goal 2'!$E$5:$E$6</c:f>
              <c:strCache>
                <c:ptCount val="1"/>
                <c:pt idx="0">
                  <c:v>Hotel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'Goal 2'!$A$7:$A$14</c:f>
              <c:multiLvlStrCache>
                <c:ptCount val="5"/>
                <c:lvl>
                  <c:pt idx="0">
                    <c:v>Middle-Aged</c:v>
                  </c:pt>
                  <c:pt idx="1">
                    <c:v>Young</c:v>
                  </c:pt>
                  <c:pt idx="2">
                    <c:v>Middle-Aged</c:v>
                  </c:pt>
                  <c:pt idx="3">
                    <c:v>Young</c:v>
                  </c:pt>
                  <c:pt idx="4">
                    <c:v>Old</c:v>
                  </c:pt>
                </c:lvl>
                <c:lvl>
                  <c:pt idx="0">
                    <c:v>Female</c:v>
                  </c:pt>
                  <c:pt idx="2">
                    <c:v>Male</c:v>
                  </c:pt>
                </c:lvl>
              </c:multiLvlStrCache>
            </c:multiLvlStrRef>
          </c:cat>
          <c:val>
            <c:numRef>
              <c:f>'Goal 2'!$E$7:$E$14</c:f>
              <c:numCache>
                <c:formatCode>General</c:formatCode>
                <c:ptCount val="5"/>
                <c:pt idx="0">
                  <c:v>19</c:v>
                </c:pt>
                <c:pt idx="1">
                  <c:v>12</c:v>
                </c:pt>
                <c:pt idx="2">
                  <c:v>20</c:v>
                </c:pt>
                <c:pt idx="3">
                  <c:v>4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BA3-4BA6-89CA-C5BEEC66CEA7}"/>
            </c:ext>
          </c:extLst>
        </c:ser>
        <c:ser>
          <c:idx val="4"/>
          <c:order val="4"/>
          <c:tx>
            <c:strRef>
              <c:f>'Goal 2'!$F$5:$F$6</c:f>
              <c:strCache>
                <c:ptCount val="1"/>
                <c:pt idx="0">
                  <c:v>Resort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'Goal 2'!$A$7:$A$14</c:f>
              <c:multiLvlStrCache>
                <c:ptCount val="5"/>
                <c:lvl>
                  <c:pt idx="0">
                    <c:v>Middle-Aged</c:v>
                  </c:pt>
                  <c:pt idx="1">
                    <c:v>Young</c:v>
                  </c:pt>
                  <c:pt idx="2">
                    <c:v>Middle-Aged</c:v>
                  </c:pt>
                  <c:pt idx="3">
                    <c:v>Young</c:v>
                  </c:pt>
                  <c:pt idx="4">
                    <c:v>Old</c:v>
                  </c:pt>
                </c:lvl>
                <c:lvl>
                  <c:pt idx="0">
                    <c:v>Female</c:v>
                  </c:pt>
                  <c:pt idx="2">
                    <c:v>Male</c:v>
                  </c:pt>
                </c:lvl>
              </c:multiLvlStrCache>
            </c:multiLvlStrRef>
          </c:cat>
          <c:val>
            <c:numRef>
              <c:f>'Goal 2'!$F$7:$F$14</c:f>
              <c:numCache>
                <c:formatCode>General</c:formatCode>
                <c:ptCount val="5"/>
                <c:pt idx="0">
                  <c:v>6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BA3-4BA6-89CA-C5BEEC66CEA7}"/>
            </c:ext>
          </c:extLst>
        </c:ser>
        <c:ser>
          <c:idx val="5"/>
          <c:order val="5"/>
          <c:tx>
            <c:strRef>
              <c:f>'Goal 2'!$G$5:$G$6</c:f>
              <c:strCache>
                <c:ptCount val="1"/>
                <c:pt idx="0">
                  <c:v>Riad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'Goal 2'!$A$7:$A$14</c:f>
              <c:multiLvlStrCache>
                <c:ptCount val="5"/>
                <c:lvl>
                  <c:pt idx="0">
                    <c:v>Middle-Aged</c:v>
                  </c:pt>
                  <c:pt idx="1">
                    <c:v>Young</c:v>
                  </c:pt>
                  <c:pt idx="2">
                    <c:v>Middle-Aged</c:v>
                  </c:pt>
                  <c:pt idx="3">
                    <c:v>Young</c:v>
                  </c:pt>
                  <c:pt idx="4">
                    <c:v>Old</c:v>
                  </c:pt>
                </c:lvl>
                <c:lvl>
                  <c:pt idx="0">
                    <c:v>Female</c:v>
                  </c:pt>
                  <c:pt idx="2">
                    <c:v>Male</c:v>
                  </c:pt>
                </c:lvl>
              </c:multiLvlStrCache>
            </c:multiLvlStrRef>
          </c:cat>
          <c:val>
            <c:numRef>
              <c:f>'Goal 2'!$G$7:$G$14</c:f>
              <c:numCache>
                <c:formatCode>General</c:formatCode>
                <c:ptCount val="5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BA3-4BA6-89CA-C5BEEC66CEA7}"/>
            </c:ext>
          </c:extLst>
        </c:ser>
        <c:ser>
          <c:idx val="6"/>
          <c:order val="6"/>
          <c:tx>
            <c:strRef>
              <c:f>'Goal 2'!$H$5:$H$6</c:f>
              <c:strCache>
                <c:ptCount val="1"/>
                <c:pt idx="0">
                  <c:v>Villa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'Goal 2'!$A$7:$A$14</c:f>
              <c:multiLvlStrCache>
                <c:ptCount val="5"/>
                <c:lvl>
                  <c:pt idx="0">
                    <c:v>Middle-Aged</c:v>
                  </c:pt>
                  <c:pt idx="1">
                    <c:v>Young</c:v>
                  </c:pt>
                  <c:pt idx="2">
                    <c:v>Middle-Aged</c:v>
                  </c:pt>
                  <c:pt idx="3">
                    <c:v>Young</c:v>
                  </c:pt>
                  <c:pt idx="4">
                    <c:v>Old</c:v>
                  </c:pt>
                </c:lvl>
                <c:lvl>
                  <c:pt idx="0">
                    <c:v>Female</c:v>
                  </c:pt>
                  <c:pt idx="2">
                    <c:v>Male</c:v>
                  </c:pt>
                </c:lvl>
              </c:multiLvlStrCache>
            </c:multiLvlStrRef>
          </c:cat>
          <c:val>
            <c:numRef>
              <c:f>'Goal 2'!$H$7:$H$14</c:f>
              <c:numCache>
                <c:formatCode>General</c:formatCode>
                <c:ptCount val="5"/>
                <c:pt idx="1">
                  <c:v>1</c:v>
                </c:pt>
                <c:pt idx="2">
                  <c:v>1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BA3-4BA6-89CA-C5BEEC66CEA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80083040"/>
        <c:axId val="480074720"/>
      </c:barChart>
      <c:catAx>
        <c:axId val="480083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074720"/>
        <c:crosses val="autoZero"/>
        <c:auto val="1"/>
        <c:lblAlgn val="ctr"/>
        <c:lblOffset val="100"/>
        <c:noMultiLvlLbl val="0"/>
      </c:catAx>
      <c:valAx>
        <c:axId val="480074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083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[Book1.xlsm]Goal 2!PivotTable2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 of</a:t>
            </a:r>
            <a:r>
              <a:rPr lang="en-US" baseline="0"/>
              <a:t> Transportation Type by Gender &amp; Age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'Goal 2'!$K$5:$K$6</c:f>
              <c:strCache>
                <c:ptCount val="1"/>
                <c:pt idx="0">
                  <c:v>Airplane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'Goal 2'!$J$7:$J$14</c:f>
              <c:multiLvlStrCache>
                <c:ptCount val="5"/>
                <c:lvl>
                  <c:pt idx="0">
                    <c:v>Middle-Aged</c:v>
                  </c:pt>
                  <c:pt idx="1">
                    <c:v>Young</c:v>
                  </c:pt>
                  <c:pt idx="2">
                    <c:v>Middle-Aged</c:v>
                  </c:pt>
                  <c:pt idx="3">
                    <c:v>Young</c:v>
                  </c:pt>
                  <c:pt idx="4">
                    <c:v>Old</c:v>
                  </c:pt>
                </c:lvl>
                <c:lvl>
                  <c:pt idx="0">
                    <c:v>Female</c:v>
                  </c:pt>
                  <c:pt idx="2">
                    <c:v>Male</c:v>
                  </c:pt>
                </c:lvl>
              </c:multiLvlStrCache>
            </c:multiLvlStrRef>
          </c:cat>
          <c:val>
            <c:numRef>
              <c:f>'Goal 2'!$K$7:$K$14</c:f>
              <c:numCache>
                <c:formatCode>General</c:formatCode>
                <c:ptCount val="5"/>
                <c:pt idx="0">
                  <c:v>22</c:v>
                </c:pt>
                <c:pt idx="1">
                  <c:v>19</c:v>
                </c:pt>
                <c:pt idx="2">
                  <c:v>17</c:v>
                </c:pt>
                <c:pt idx="3">
                  <c:v>9</c:v>
                </c:pt>
                <c:pt idx="4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65-4D28-976B-5CF4FD11E286}"/>
            </c:ext>
          </c:extLst>
        </c:ser>
        <c:ser>
          <c:idx val="1"/>
          <c:order val="1"/>
          <c:tx>
            <c:strRef>
              <c:f>'Goal 2'!$L$5:$L$6</c:f>
              <c:strCache>
                <c:ptCount val="1"/>
                <c:pt idx="0">
                  <c:v>Bus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'Goal 2'!$J$7:$J$14</c:f>
              <c:multiLvlStrCache>
                <c:ptCount val="5"/>
                <c:lvl>
                  <c:pt idx="0">
                    <c:v>Middle-Aged</c:v>
                  </c:pt>
                  <c:pt idx="1">
                    <c:v>Young</c:v>
                  </c:pt>
                  <c:pt idx="2">
                    <c:v>Middle-Aged</c:v>
                  </c:pt>
                  <c:pt idx="3">
                    <c:v>Young</c:v>
                  </c:pt>
                  <c:pt idx="4">
                    <c:v>Old</c:v>
                  </c:pt>
                </c:lvl>
                <c:lvl>
                  <c:pt idx="0">
                    <c:v>Female</c:v>
                  </c:pt>
                  <c:pt idx="2">
                    <c:v>Male</c:v>
                  </c:pt>
                </c:lvl>
              </c:multiLvlStrCache>
            </c:multiLvlStrRef>
          </c:cat>
          <c:val>
            <c:numRef>
              <c:f>'Goal 2'!$L$7:$L$14</c:f>
              <c:numCache>
                <c:formatCode>General</c:formatCode>
                <c:ptCount val="5"/>
                <c:pt idx="0">
                  <c:v>2</c:v>
                </c:pt>
                <c:pt idx="1">
                  <c:v>3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65-4D28-976B-5CF4FD11E286}"/>
            </c:ext>
          </c:extLst>
        </c:ser>
        <c:ser>
          <c:idx val="2"/>
          <c:order val="2"/>
          <c:tx>
            <c:strRef>
              <c:f>'Goal 2'!$M$5:$M$6</c:f>
              <c:strCache>
                <c:ptCount val="1"/>
                <c:pt idx="0">
                  <c:v>Car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'Goal 2'!$J$7:$J$14</c:f>
              <c:multiLvlStrCache>
                <c:ptCount val="5"/>
                <c:lvl>
                  <c:pt idx="0">
                    <c:v>Middle-Aged</c:v>
                  </c:pt>
                  <c:pt idx="1">
                    <c:v>Young</c:v>
                  </c:pt>
                  <c:pt idx="2">
                    <c:v>Middle-Aged</c:v>
                  </c:pt>
                  <c:pt idx="3">
                    <c:v>Young</c:v>
                  </c:pt>
                  <c:pt idx="4">
                    <c:v>Old</c:v>
                  </c:pt>
                </c:lvl>
                <c:lvl>
                  <c:pt idx="0">
                    <c:v>Female</c:v>
                  </c:pt>
                  <c:pt idx="2">
                    <c:v>Male</c:v>
                  </c:pt>
                </c:lvl>
              </c:multiLvlStrCache>
            </c:multiLvlStrRef>
          </c:cat>
          <c:val>
            <c:numRef>
              <c:f>'Goal 2'!$M$7:$M$14</c:f>
              <c:numCache>
                <c:formatCode>General</c:formatCode>
                <c:ptCount val="5"/>
                <c:pt idx="0">
                  <c:v>1</c:v>
                </c:pt>
                <c:pt idx="1">
                  <c:v>5</c:v>
                </c:pt>
                <c:pt idx="2">
                  <c:v>5</c:v>
                </c:pt>
                <c:pt idx="3">
                  <c:v>3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65-4D28-976B-5CF4FD11E286}"/>
            </c:ext>
          </c:extLst>
        </c:ser>
        <c:ser>
          <c:idx val="3"/>
          <c:order val="3"/>
          <c:tx>
            <c:strRef>
              <c:f>'Goal 2'!$N$5:$N$6</c:f>
              <c:strCache>
                <c:ptCount val="1"/>
                <c:pt idx="0">
                  <c:v>Ferry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'Goal 2'!$J$7:$J$14</c:f>
              <c:multiLvlStrCache>
                <c:ptCount val="5"/>
                <c:lvl>
                  <c:pt idx="0">
                    <c:v>Middle-Aged</c:v>
                  </c:pt>
                  <c:pt idx="1">
                    <c:v>Young</c:v>
                  </c:pt>
                  <c:pt idx="2">
                    <c:v>Middle-Aged</c:v>
                  </c:pt>
                  <c:pt idx="3">
                    <c:v>Young</c:v>
                  </c:pt>
                  <c:pt idx="4">
                    <c:v>Old</c:v>
                  </c:pt>
                </c:lvl>
                <c:lvl>
                  <c:pt idx="0">
                    <c:v>Female</c:v>
                  </c:pt>
                  <c:pt idx="2">
                    <c:v>Male</c:v>
                  </c:pt>
                </c:lvl>
              </c:multiLvlStrCache>
            </c:multiLvlStrRef>
          </c:cat>
          <c:val>
            <c:numRef>
              <c:f>'Goal 2'!$N$7:$N$14</c:f>
              <c:numCache>
                <c:formatCode>General</c:formatCode>
                <c:ptCount val="5"/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65-4D28-976B-5CF4FD11E286}"/>
            </c:ext>
          </c:extLst>
        </c:ser>
        <c:ser>
          <c:idx val="4"/>
          <c:order val="4"/>
          <c:tx>
            <c:strRef>
              <c:f>'Goal 2'!$O$5:$O$6</c:f>
              <c:strCache>
                <c:ptCount val="1"/>
                <c:pt idx="0">
                  <c:v>Subway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'Goal 2'!$J$7:$J$14</c:f>
              <c:multiLvlStrCache>
                <c:ptCount val="5"/>
                <c:lvl>
                  <c:pt idx="0">
                    <c:v>Middle-Aged</c:v>
                  </c:pt>
                  <c:pt idx="1">
                    <c:v>Young</c:v>
                  </c:pt>
                  <c:pt idx="2">
                    <c:v>Middle-Aged</c:v>
                  </c:pt>
                  <c:pt idx="3">
                    <c:v>Young</c:v>
                  </c:pt>
                  <c:pt idx="4">
                    <c:v>Old</c:v>
                  </c:pt>
                </c:lvl>
                <c:lvl>
                  <c:pt idx="0">
                    <c:v>Female</c:v>
                  </c:pt>
                  <c:pt idx="2">
                    <c:v>Male</c:v>
                  </c:pt>
                </c:lvl>
              </c:multiLvlStrCache>
            </c:multiLvlStrRef>
          </c:cat>
          <c:val>
            <c:numRef>
              <c:f>'Goal 2'!$O$7:$O$14</c:f>
              <c:numCache>
                <c:formatCode>General</c:formatCode>
                <c:ptCount val="5"/>
                <c:pt idx="0">
                  <c:v>10</c:v>
                </c:pt>
                <c:pt idx="1">
                  <c:v>8</c:v>
                </c:pt>
                <c:pt idx="2">
                  <c:v>12</c:v>
                </c:pt>
                <c:pt idx="3">
                  <c:v>5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D65-4D28-976B-5CF4FD11E28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67842048"/>
        <c:axId val="1567824160"/>
      </c:barChart>
      <c:catAx>
        <c:axId val="156784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824160"/>
        <c:crosses val="autoZero"/>
        <c:auto val="1"/>
        <c:lblAlgn val="ctr"/>
        <c:lblOffset val="100"/>
        <c:noMultiLvlLbl val="0"/>
      </c:catAx>
      <c:valAx>
        <c:axId val="156782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842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[Book1.xlsm]Goal 3!PivotTable3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Cost</a:t>
            </a:r>
            <a:r>
              <a:rPr lang="en-US" baseline="0"/>
              <a:t> of Accomodation and Transportation per Day by Gender &amp; Age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'Goal 3'!$B$5</c:f>
              <c:strCache>
                <c:ptCount val="1"/>
                <c:pt idx="0">
                  <c:v>Avg Accomodation Cost/Day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'Goal 3'!$A$6:$A$12</c:f>
              <c:multiLvlStrCache>
                <c:ptCount val="5"/>
                <c:lvl>
                  <c:pt idx="0">
                    <c:v>Middle-Aged</c:v>
                  </c:pt>
                  <c:pt idx="1">
                    <c:v>Young</c:v>
                  </c:pt>
                  <c:pt idx="2">
                    <c:v>Middle-Aged</c:v>
                  </c:pt>
                  <c:pt idx="3">
                    <c:v>Young</c:v>
                  </c:pt>
                  <c:pt idx="4">
                    <c:v>Old</c:v>
                  </c:pt>
                </c:lvl>
                <c:lvl>
                  <c:pt idx="0">
                    <c:v>Female</c:v>
                  </c:pt>
                  <c:pt idx="2">
                    <c:v>Male</c:v>
                  </c:pt>
                </c:lvl>
              </c:multiLvlStrCache>
            </c:multiLvlStrRef>
          </c:cat>
          <c:val>
            <c:numRef>
              <c:f>'Goal 3'!$B$6:$B$12</c:f>
              <c:numCache>
                <c:formatCode>0</c:formatCode>
                <c:ptCount val="5"/>
                <c:pt idx="0">
                  <c:v>141.59327973613688</c:v>
                </c:pt>
                <c:pt idx="1">
                  <c:v>216.36982858411426</c:v>
                </c:pt>
                <c:pt idx="2">
                  <c:v>208.63954672778198</c:v>
                </c:pt>
                <c:pt idx="3">
                  <c:v>103.81635907951697</c:v>
                </c:pt>
                <c:pt idx="4">
                  <c:v>165.82766439909295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9-4E2C-8DD0-79C84CB71686}"/>
            </c:ext>
          </c:extLst>
        </c:ser>
        <c:ser>
          <c:idx val="1"/>
          <c:order val="1"/>
          <c:tx>
            <c:strRef>
              <c:f>'Goal 3'!$C$5</c:f>
              <c:strCache>
                <c:ptCount val="1"/>
                <c:pt idx="0">
                  <c:v>Avg Transportation Cost/Day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'Goal 3'!$A$6:$A$12</c:f>
              <c:multiLvlStrCache>
                <c:ptCount val="5"/>
                <c:lvl>
                  <c:pt idx="0">
                    <c:v>Middle-Aged</c:v>
                  </c:pt>
                  <c:pt idx="1">
                    <c:v>Young</c:v>
                  </c:pt>
                  <c:pt idx="2">
                    <c:v>Middle-Aged</c:v>
                  </c:pt>
                  <c:pt idx="3">
                    <c:v>Young</c:v>
                  </c:pt>
                  <c:pt idx="4">
                    <c:v>Old</c:v>
                  </c:pt>
                </c:lvl>
                <c:lvl>
                  <c:pt idx="0">
                    <c:v>Female</c:v>
                  </c:pt>
                  <c:pt idx="2">
                    <c:v>Male</c:v>
                  </c:pt>
                </c:lvl>
              </c:multiLvlStrCache>
            </c:multiLvlStrRef>
          </c:cat>
          <c:val>
            <c:numRef>
              <c:f>'Goal 3'!$C$6:$C$12</c:f>
              <c:numCache>
                <c:formatCode>0</c:formatCode>
                <c:ptCount val="5"/>
                <c:pt idx="0">
                  <c:v>81.505617398474527</c:v>
                </c:pt>
                <c:pt idx="1">
                  <c:v>98.672494172494183</c:v>
                </c:pt>
                <c:pt idx="2">
                  <c:v>100.88383838383838</c:v>
                </c:pt>
                <c:pt idx="3">
                  <c:v>56.945203918888133</c:v>
                </c:pt>
                <c:pt idx="4">
                  <c:v>92.448979591836732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09-4E2C-8DD0-79C84CB7168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572216432"/>
        <c:axId val="572206864"/>
      </c:barChart>
      <c:catAx>
        <c:axId val="572216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206864"/>
        <c:crosses val="autoZero"/>
        <c:auto val="1"/>
        <c:lblAlgn val="ctr"/>
        <c:lblOffset val="100"/>
        <c:noMultiLvlLbl val="0"/>
      </c:catAx>
      <c:valAx>
        <c:axId val="57220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216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[Book1.xlsm]Goal 4!PivotTable2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</a:t>
            </a:r>
            <a:r>
              <a:rPr lang="en-US" baseline="0"/>
              <a:t> of Travellers by Month and Age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'Goal 4'!$B$5:$B$6</c:f>
              <c:strCache>
                <c:ptCount val="1"/>
                <c:pt idx="0">
                  <c:v>Middle-Aged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'Goal 4'!$A$7:$A$18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'Goal 4'!$B$7:$B$18</c:f>
              <c:numCache>
                <c:formatCode>General</c:formatCode>
                <c:ptCount val="12"/>
                <c:pt idx="0">
                  <c:v>4</c:v>
                </c:pt>
                <c:pt idx="1">
                  <c:v>7</c:v>
                </c:pt>
                <c:pt idx="2">
                  <c:v>3</c:v>
                </c:pt>
                <c:pt idx="3">
                  <c:v>5</c:v>
                </c:pt>
                <c:pt idx="4">
                  <c:v>8</c:v>
                </c:pt>
                <c:pt idx="5">
                  <c:v>8</c:v>
                </c:pt>
                <c:pt idx="6">
                  <c:v>4</c:v>
                </c:pt>
                <c:pt idx="7">
                  <c:v>9</c:v>
                </c:pt>
                <c:pt idx="8">
                  <c:v>10</c:v>
                </c:pt>
                <c:pt idx="9">
                  <c:v>5</c:v>
                </c:pt>
                <c:pt idx="10">
                  <c:v>5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6B-4A0A-9667-3B55EDBDD400}"/>
            </c:ext>
          </c:extLst>
        </c:ser>
        <c:ser>
          <c:idx val="1"/>
          <c:order val="1"/>
          <c:tx>
            <c:strRef>
              <c:f>'Goal 4'!$C$5:$C$6</c:f>
              <c:strCache>
                <c:ptCount val="1"/>
                <c:pt idx="0">
                  <c:v>Old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'Goal 4'!$A$7:$A$18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'Goal 4'!$C$7:$C$18</c:f>
              <c:numCache>
                <c:formatCode>General</c:formatCode>
                <c:ptCount val="12"/>
                <c:pt idx="2">
                  <c:v>2</c:v>
                </c:pt>
                <c:pt idx="4">
                  <c:v>1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26B-4A0A-9667-3B55EDBDD400}"/>
            </c:ext>
          </c:extLst>
        </c:ser>
        <c:ser>
          <c:idx val="2"/>
          <c:order val="2"/>
          <c:tx>
            <c:strRef>
              <c:f>'Goal 4'!$D$5:$D$6</c:f>
              <c:strCache>
                <c:ptCount val="1"/>
                <c:pt idx="0">
                  <c:v>Young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'Goal 4'!$A$7:$A$18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'Goal 4'!$D$7:$D$18</c:f>
              <c:numCache>
                <c:formatCode>General</c:formatCode>
                <c:ptCount val="12"/>
                <c:pt idx="0">
                  <c:v>5</c:v>
                </c:pt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6</c:v>
                </c:pt>
                <c:pt idx="5">
                  <c:v>4</c:v>
                </c:pt>
                <c:pt idx="6">
                  <c:v>9</c:v>
                </c:pt>
                <c:pt idx="7">
                  <c:v>7</c:v>
                </c:pt>
                <c:pt idx="8">
                  <c:v>5</c:v>
                </c:pt>
                <c:pt idx="9">
                  <c:v>3</c:v>
                </c:pt>
                <c:pt idx="10">
                  <c:v>5</c:v>
                </c:pt>
                <c:pt idx="1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26B-4A0A-9667-3B55EDBDD40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88"/>
        <c:overlap val="100"/>
        <c:axId val="157211520"/>
        <c:axId val="157216096"/>
      </c:barChart>
      <c:catAx>
        <c:axId val="15721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216096"/>
        <c:crosses val="autoZero"/>
        <c:auto val="1"/>
        <c:lblAlgn val="ctr"/>
        <c:lblOffset val="100"/>
        <c:noMultiLvlLbl val="0"/>
      </c:catAx>
      <c:valAx>
        <c:axId val="15721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211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15240</xdr:colOff>
      <xdr:row>1</xdr:row>
      <xdr:rowOff>7620</xdr:rowOff>
    </xdr:from>
    <xdr:to>
      <xdr:col>18</xdr:col>
      <xdr:colOff>7620</xdr:colOff>
      <xdr:row>3</xdr:row>
      <xdr:rowOff>0</xdr:rowOff>
    </xdr:to>
    <xdr:sp macro="[0]!Sheet2.check_Empty_Cell" textlink="">
      <xdr:nvSpPr>
        <xdr:cNvPr id="2" name="Rectangle 1">
          <a:extLst>
            <a:ext uri="{FF2B5EF4-FFF2-40B4-BE49-F238E27FC236}">
              <a16:creationId xmlns:a16="http://schemas.microsoft.com/office/drawing/2014/main" id="{099AF0F9-A533-CC5E-BC11-55B6F0DE7E96}"/>
            </a:ext>
          </a:extLst>
        </xdr:cNvPr>
        <xdr:cNvSpPr/>
      </xdr:nvSpPr>
      <xdr:spPr>
        <a:xfrm>
          <a:off x="12969240" y="190500"/>
          <a:ext cx="1211580" cy="358140"/>
        </a:xfrm>
        <a:prstGeom prst="rect">
          <a:avLst/>
        </a:prstGeom>
        <a:solidFill>
          <a:srgbClr val="FFFF00"/>
        </a:solidFill>
        <a:ln w="38100">
          <a:solidFill>
            <a:srgbClr val="FF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Check empty</a:t>
          </a:r>
          <a:r>
            <a:rPr lang="en-US" sz="1100" baseline="0"/>
            <a:t> cells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</xdr:colOff>
      <xdr:row>30</xdr:row>
      <xdr:rowOff>83819</xdr:rowOff>
    </xdr:from>
    <xdr:to>
      <xdr:col>6</xdr:col>
      <xdr:colOff>22860</xdr:colOff>
      <xdr:row>32</xdr:row>
      <xdr:rowOff>146114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A2D5863-6FF4-36A9-1C19-C1CD120265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" y="5570219"/>
          <a:ext cx="3665220" cy="428055"/>
        </a:xfrm>
        <a:prstGeom prst="rect">
          <a:avLst/>
        </a:prstGeom>
      </xdr:spPr>
    </xdr:pic>
    <xdr:clientData/>
  </xdr:twoCellAnchor>
  <xdr:twoCellAnchor editAs="oneCell">
    <xdr:from>
      <xdr:col>0</xdr:col>
      <xdr:colOff>53340</xdr:colOff>
      <xdr:row>33</xdr:row>
      <xdr:rowOff>99059</xdr:rowOff>
    </xdr:from>
    <xdr:to>
      <xdr:col>6</xdr:col>
      <xdr:colOff>30480</xdr:colOff>
      <xdr:row>34</xdr:row>
      <xdr:rowOff>164515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97948CC-7B5A-B3F9-63DF-C8AAF5454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340" y="6134099"/>
          <a:ext cx="3634740" cy="248336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</xdr:colOff>
      <xdr:row>35</xdr:row>
      <xdr:rowOff>38100</xdr:rowOff>
    </xdr:from>
    <xdr:to>
      <xdr:col>6</xdr:col>
      <xdr:colOff>7620</xdr:colOff>
      <xdr:row>37</xdr:row>
      <xdr:rowOff>134862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313B79A-46CC-2225-8D45-BE03A74C2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860" y="6438900"/>
          <a:ext cx="3642360" cy="462522"/>
        </a:xfrm>
        <a:prstGeom prst="rect">
          <a:avLst/>
        </a:prstGeom>
      </xdr:spPr>
    </xdr:pic>
    <xdr:clientData/>
  </xdr:twoCellAnchor>
  <xdr:twoCellAnchor editAs="oneCell">
    <xdr:from>
      <xdr:col>7</xdr:col>
      <xdr:colOff>15240</xdr:colOff>
      <xdr:row>36</xdr:row>
      <xdr:rowOff>129540</xdr:rowOff>
    </xdr:from>
    <xdr:to>
      <xdr:col>13</xdr:col>
      <xdr:colOff>7620</xdr:colOff>
      <xdr:row>37</xdr:row>
      <xdr:rowOff>78853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1E0310A-6FB1-BA02-8307-ECDB3CF5AA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82440" y="6713220"/>
          <a:ext cx="3649980" cy="132193"/>
        </a:xfrm>
        <a:prstGeom prst="rect">
          <a:avLst/>
        </a:prstGeom>
      </xdr:spPr>
    </xdr:pic>
    <xdr:clientData/>
  </xdr:twoCellAnchor>
  <xdr:twoCellAnchor editAs="oneCell">
    <xdr:from>
      <xdr:col>7</xdr:col>
      <xdr:colOff>15240</xdr:colOff>
      <xdr:row>30</xdr:row>
      <xdr:rowOff>76200</xdr:rowOff>
    </xdr:from>
    <xdr:to>
      <xdr:col>12</xdr:col>
      <xdr:colOff>594674</xdr:colOff>
      <xdr:row>33</xdr:row>
      <xdr:rowOff>160075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2F973C3-1A82-5BB7-638E-D83C1B7C64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82440" y="5562600"/>
          <a:ext cx="3627434" cy="632515"/>
        </a:xfrm>
        <a:prstGeom prst="rect">
          <a:avLst/>
        </a:prstGeom>
      </xdr:spPr>
    </xdr:pic>
    <xdr:clientData/>
  </xdr:twoCellAnchor>
  <xdr:twoCellAnchor editAs="oneCell">
    <xdr:from>
      <xdr:col>7</xdr:col>
      <xdr:colOff>7620</xdr:colOff>
      <xdr:row>34</xdr:row>
      <xdr:rowOff>76200</xdr:rowOff>
    </xdr:from>
    <xdr:to>
      <xdr:col>13</xdr:col>
      <xdr:colOff>15240</xdr:colOff>
      <xdr:row>36</xdr:row>
      <xdr:rowOff>17474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DF33D6D5-2429-20A8-945D-3B639A621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274820" y="6294120"/>
          <a:ext cx="3665220" cy="3070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7621</xdr:colOff>
      <xdr:row>13</xdr:row>
      <xdr:rowOff>7620</xdr:rowOff>
    </xdr:from>
    <xdr:to>
      <xdr:col>4</xdr:col>
      <xdr:colOff>21772</xdr:colOff>
      <xdr:row>29</xdr:row>
      <xdr:rowOff>32657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191C83D-7267-C510-0BA0-4559785E81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14</xdr:row>
      <xdr:rowOff>4898</xdr:rowOff>
    </xdr:from>
    <xdr:to>
      <xdr:col>13</xdr:col>
      <xdr:colOff>0</xdr:colOff>
      <xdr:row>33</xdr:row>
      <xdr:rowOff>10885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8302970-72AE-1AA5-3A47-10B7BF896F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16932</xdr:colOff>
      <xdr:row>14</xdr:row>
      <xdr:rowOff>25400</xdr:rowOff>
    </xdr:from>
    <xdr:to>
      <xdr:col>8</xdr:col>
      <xdr:colOff>0</xdr:colOff>
      <xdr:row>32</xdr:row>
      <xdr:rowOff>21771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E9D396-8450-FE2C-8E9A-8F55051E23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1192590</xdr:colOff>
      <xdr:row>14</xdr:row>
      <xdr:rowOff>8467</xdr:rowOff>
    </xdr:from>
    <xdr:to>
      <xdr:col>14</xdr:col>
      <xdr:colOff>522515</xdr:colOff>
      <xdr:row>31</xdr:row>
      <xdr:rowOff>174172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DD54D00-93D8-A2A3-DE92-D9DC59CA2D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</xdr:colOff>
      <xdr:row>12</xdr:row>
      <xdr:rowOff>21770</xdr:rowOff>
    </xdr:from>
    <xdr:to>
      <xdr:col>3</xdr:col>
      <xdr:colOff>1578430</xdr:colOff>
      <xdr:row>30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D370098-5485-9D7D-A371-07A477C1AB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32658</xdr:colOff>
      <xdr:row>3</xdr:row>
      <xdr:rowOff>174171</xdr:rowOff>
    </xdr:from>
    <xdr:to>
      <xdr:col>18</xdr:col>
      <xdr:colOff>413659</xdr:colOff>
      <xdr:row>23</xdr:row>
      <xdr:rowOff>21772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DA44907-36E7-8BE1-E9AF-3E901D1127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ao N Pham" refreshedDate="45028.485171643515" createdVersion="8" refreshedVersion="8" minRefreshableVersion="3" recordCount="137" xr:uid="{EED92E13-1A68-4BC7-B1EF-3B51166A09EF}">
  <cacheSource type="worksheet">
    <worksheetSource name="Table1"/>
  </cacheSource>
  <cacheFields count="18">
    <cacheField name="Trip ID" numFmtId="0">
      <sharedItems containsSemiMixedTypes="0" containsString="0" containsNumber="1" containsInteger="1" minValue="1" maxValue="137"/>
    </cacheField>
    <cacheField name="Destination" numFmtId="0">
      <sharedItems/>
    </cacheField>
    <cacheField name="Travel Country" numFmtId="0">
      <sharedItems/>
    </cacheField>
    <cacheField name="Continent" numFmtId="0">
      <sharedItems count="7">
        <s v="Europe"/>
        <s v="Asia"/>
        <s v="North America"/>
        <s v="Oceania"/>
        <s v="South America"/>
        <s v="Africa"/>
        <e v="#N/A" u="1"/>
      </sharedItems>
    </cacheField>
    <cacheField name="Travel Month" numFmtId="165">
      <sharedItems containsSemiMixedTypes="0" containsNonDate="0" containsDate="1" containsString="0" minDate="2021-06-15T00:00:00" maxDate="2025-05-22T00:00:00" count="111">
        <d v="2023-05-01T00:00:00"/>
        <d v="2023-06-15T00:00:00"/>
        <d v="2023-07-01T00:00:00"/>
        <d v="2023-08-15T00:00:00"/>
        <d v="2023-09-10T00:00:00"/>
        <d v="2023-10-05T00:00:00"/>
        <d v="2023-11-20T00:00:00"/>
        <d v="2024-01-05T00:00:00"/>
        <d v="2024-02-14T00:00:00"/>
        <d v="2024-03-10T00:00:00"/>
        <d v="2024-04-01T00:00:00"/>
        <d v="2024-05-15T00:00:00"/>
        <d v="2024-06-10T00:00:00"/>
        <d v="2024-07-01T00:00:00"/>
        <d v="2024-08-20T00:00:00"/>
        <d v="2024-09-05T00:00:00"/>
        <d v="2023-09-01T00:00:00"/>
        <d v="2023-07-22T00:00:00"/>
        <d v="2023-12-05T00:00:00"/>
        <d v="2023-11-01T00:00:00"/>
        <d v="2023-09-15T00:00:00"/>
        <d v="2023-12-22T00:00:00"/>
        <d v="2023-08-01T00:00:00"/>
        <d v="2023-10-20T00:00:00"/>
        <d v="2022-05-10T00:00:00"/>
        <d v="2022-06-15T00:00:00"/>
        <d v="2022-07-02T00:00:00"/>
        <d v="2022-08-20T00:00:00"/>
        <d v="2022-09-05T00:00:00"/>
        <d v="2022-10-12T00:00:00"/>
        <d v="2022-11-08T00:00:00"/>
        <d v="2023-01-05T00:00:00"/>
        <d v="2023-02-14T00:00:00"/>
        <d v="2023-03-23T00:00:00"/>
        <d v="2023-04-19T00:00:00"/>
        <d v="2022-06-12T00:00:00"/>
        <d v="2023-01-02T00:00:00"/>
        <d v="2022-12-10T00:00:00"/>
        <d v="2022-11-20T00:00:00"/>
        <d v="2023-03-05T00:00:00"/>
        <d v="2023-08-18T00:00:00"/>
        <d v="2022-09-15T00:00:00"/>
        <d v="2022-07-10T00:00:00"/>
        <d v="2023-06-20T00:00:00"/>
        <d v="2023-10-10T00:00:00"/>
        <d v="2023-11-05T00:00:00"/>
        <d v="2023-12-24T00:00:00"/>
        <d v="2024-01-15T00:00:00"/>
        <d v="2024-02-01T00:00:00"/>
        <d v="2024-03-15T00:00:00"/>
        <d v="2024-04-05T00:00:00"/>
        <d v="2024-05-10T00:00:00"/>
        <d v="2024-06-20T00:00:00"/>
        <d v="2024-07-15T00:00:00"/>
        <d v="2022-07-12T00:00:00"/>
        <d v="2022-09-03T00:00:00"/>
        <d v="2023-01-07T00:00:00"/>
        <d v="2023-06-23T00:00:00"/>
        <d v="2024-05-06T00:00:00"/>
        <d v="2024-07-20T00:00:00"/>
        <d v="2024-09-08T00:00:00"/>
        <d v="2025-02-14T00:00:00"/>
        <d v="2025-05-21T00:00:00"/>
        <d v="2022-08-05T00:00:00"/>
        <d v="2023-01-01T00:00:00"/>
        <d v="2023-04-15T00:00:00"/>
        <d v="2023-06-07T00:00:00"/>
        <d v="2023-11-12T00:00:00"/>
        <d v="2024-02-05T00:00:00"/>
        <d v="2025-01-01T00:00:00"/>
        <d v="2025-04-15T00:00:00"/>
        <d v="2021-06-15T00:00:00"/>
        <d v="2021-07-01T00:00:00"/>
        <d v="2021-08-10T00:00:00"/>
        <d v="2021-09-01T00:00:00"/>
        <d v="2021-10-15T00:00:00"/>
        <d v="2021-11-20T00:00:00"/>
        <d v="2022-01-01T00:00:00"/>
        <d v="2022-02-14T00:00:00"/>
        <d v="2022-03-10T00:00:00"/>
        <d v="2022-04-15T00:00:00"/>
        <d v="2022-05-01T00:00:00"/>
        <d v="2022-09-01T00:00:00"/>
        <d v="2022-11-23T00:00:00"/>
        <d v="2023-05-08T00:00:00"/>
        <d v="2023-08-20T00:00:00"/>
        <d v="2024-01-06T00:00:00"/>
        <d v="2024-04-03T00:00:00"/>
        <d v="2024-07-22T00:00:00"/>
        <d v="2024-10-10T00:00:00"/>
        <d v="2022-05-15T00:00:00"/>
        <d v="2022-06-20T00:00:00"/>
        <d v="2022-08-12T00:00:00"/>
        <d v="2022-07-01T00:00:00"/>
        <d v="2022-06-10T00:00:00"/>
        <d v="2022-07-15T00:00:00"/>
        <d v="2022-08-25T00:00:00"/>
        <d v="2022-09-10T00:00:00"/>
        <d v="2022-02-05T00:00:00"/>
        <d v="2022-03-15T00:00:00"/>
        <d v="2022-07-20T00:00:00"/>
        <d v="2022-08-08T00:00:00"/>
        <d v="2022-09-20T00:00:00"/>
        <d v="2022-10-05T00:00:00"/>
        <d v="2022-11-11T00:00:00"/>
        <d v="2022-12-24T00:00:00"/>
        <d v="2023-02-10T00:00:00"/>
        <d v="2023-05-15T00:00:00"/>
        <d v="2023-06-01T00:00:00"/>
        <d v="2023-07-15T00:00:00"/>
        <d v="2023-10-01T00:00:00"/>
      </sharedItems>
      <fieldGroup par="17" base="4">
        <rangePr groupBy="months" startDate="2021-06-15T00:00:00" endDate="2025-05-22T00:00:00"/>
        <groupItems count="14">
          <s v="&lt;6/15/202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22/2025"/>
        </groupItems>
      </fieldGroup>
    </cacheField>
    <cacheField name="Duration (days)" numFmtId="0">
      <sharedItems containsSemiMixedTypes="0" containsString="0" containsNumber="1" containsInteger="1" minValue="5" maxValue="14"/>
    </cacheField>
    <cacheField name="Age" numFmtId="0">
      <sharedItems containsSemiMixedTypes="0" containsString="0" containsNumber="1" containsInteger="1" minValue="20" maxValue="60" count="29">
        <n v="35"/>
        <n v="28"/>
        <n v="45"/>
        <n v="29"/>
        <n v="26"/>
        <n v="42"/>
        <n v="33"/>
        <n v="25"/>
        <n v="31"/>
        <n v="39"/>
        <n v="27"/>
        <n v="36"/>
        <n v="48"/>
        <n v="32"/>
        <n v="30"/>
        <n v="40"/>
        <n v="24"/>
        <n v="34"/>
        <n v="20"/>
        <n v="37"/>
        <n v="38"/>
        <n v="55"/>
        <n v="41"/>
        <n v="23"/>
        <n v="43"/>
        <n v="46"/>
        <n v="60"/>
        <n v="50"/>
        <n v="47"/>
      </sharedItems>
    </cacheField>
    <cacheField name="Age Range" numFmtId="0">
      <sharedItems count="6">
        <s v="Middle-Aged"/>
        <s v="Young"/>
        <s v="Old"/>
        <s v="Young Adults" u="1"/>
        <s v="Middle-Aged Adults" u="1"/>
        <s v="Old Adults" u="1"/>
      </sharedItems>
    </cacheField>
    <cacheField name="Gender" numFmtId="0">
      <sharedItems count="2">
        <s v="Male"/>
        <s v="Female"/>
      </sharedItems>
    </cacheField>
    <cacheField name="Nationality" numFmtId="0">
      <sharedItems/>
    </cacheField>
    <cacheField name="Accommodation type" numFmtId="0">
      <sharedItems count="8">
        <s v="Hotel"/>
        <s v="Resort"/>
        <s v="Villa"/>
        <s v="Airbnb"/>
        <s v="Hostel"/>
        <s v="Riad"/>
        <s v="Guesthouse"/>
        <s v="Vacation rental" u="1"/>
      </sharedItems>
    </cacheField>
    <cacheField name="Accomodation Cost/Day" numFmtId="1">
      <sharedItems containsSemiMixedTypes="0" containsString="0" containsNumber="1" minValue="14.285714285714286" maxValue="1142.8571428571429"/>
    </cacheField>
    <cacheField name="Accommodation Cost" numFmtId="1">
      <sharedItems containsSemiMixedTypes="0" containsString="0" containsNumber="1" containsInteger="1" minValue="100" maxValue="8000"/>
    </cacheField>
    <cacheField name="Transportation type" numFmtId="0">
      <sharedItems count="5">
        <s v="Airplane"/>
        <s v="Subway"/>
        <s v="Bus"/>
        <s v="Car"/>
        <s v="Ferry"/>
      </sharedItems>
    </cacheField>
    <cacheField name="Transportation Cost/Day" numFmtId="1">
      <sharedItems containsSemiMixedTypes="0" containsString="0" containsNumber="1" minValue="2.5" maxValue="500"/>
    </cacheField>
    <cacheField name="Transportation cost" numFmtId="1">
      <sharedItems containsSemiMixedTypes="0" containsString="0" containsNumber="1" containsInteger="1" minValue="20" maxValue="3000"/>
    </cacheField>
    <cacheField name="Quarters" numFmtId="0" databaseField="0">
      <fieldGroup base="4">
        <rangePr groupBy="quarters" startDate="2021-06-15T00:00:00" endDate="2025-05-22T00:00:00"/>
        <groupItems count="6">
          <s v="&lt;6/15/2021"/>
          <s v="Qtr1"/>
          <s v="Qtr2"/>
          <s v="Qtr3"/>
          <s v="Qtr4"/>
          <s v="&gt;5/22/2025"/>
        </groupItems>
      </fieldGroup>
    </cacheField>
    <cacheField name="Years" numFmtId="0" databaseField="0">
      <fieldGroup base="4">
        <rangePr groupBy="years" startDate="2021-06-15T00:00:00" endDate="2025-05-22T00:00:00"/>
        <groupItems count="7">
          <s v="&lt;6/15/2021"/>
          <s v="2021"/>
          <s v="2022"/>
          <s v="2023"/>
          <s v="2024"/>
          <s v="2025"/>
          <s v="&gt;5/22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7">
  <r>
    <n v="1"/>
    <s v="London"/>
    <s v="UK"/>
    <x v="0"/>
    <x v="0"/>
    <n v="7"/>
    <x v="0"/>
    <x v="0"/>
    <x v="0"/>
    <s v="American"/>
    <x v="0"/>
    <n v="171.42857142857142"/>
    <n v="1200"/>
    <x v="0"/>
    <n v="85.714285714285708"/>
    <n v="600"/>
  </r>
  <r>
    <n v="2"/>
    <s v="Phuket"/>
    <s v="Thailand"/>
    <x v="1"/>
    <x v="1"/>
    <n v="5"/>
    <x v="1"/>
    <x v="1"/>
    <x v="1"/>
    <s v="Canadian"/>
    <x v="1"/>
    <n v="160"/>
    <n v="800"/>
    <x v="0"/>
    <n v="100"/>
    <n v="500"/>
  </r>
  <r>
    <n v="3"/>
    <s v="Bali"/>
    <s v="Indonesia"/>
    <x v="1"/>
    <x v="2"/>
    <n v="7"/>
    <x v="2"/>
    <x v="2"/>
    <x v="0"/>
    <s v="Korean"/>
    <x v="2"/>
    <n v="142.85714285714286"/>
    <n v="1000"/>
    <x v="0"/>
    <n v="100"/>
    <n v="700"/>
  </r>
  <r>
    <n v="4"/>
    <s v="New York"/>
    <s v="USA"/>
    <x v="2"/>
    <x v="3"/>
    <n v="14"/>
    <x v="3"/>
    <x v="1"/>
    <x v="1"/>
    <s v="British"/>
    <x v="0"/>
    <n v="142.85714285714286"/>
    <n v="2000"/>
    <x v="0"/>
    <n v="71.428571428571431"/>
    <n v="1000"/>
  </r>
  <r>
    <n v="5"/>
    <s v="Tokyo"/>
    <s v="Japan"/>
    <x v="1"/>
    <x v="4"/>
    <n v="7"/>
    <x v="4"/>
    <x v="1"/>
    <x v="1"/>
    <s v="Vietnamese"/>
    <x v="3"/>
    <n v="100"/>
    <n v="700"/>
    <x v="1"/>
    <n v="28.571428571428573"/>
    <n v="200"/>
  </r>
  <r>
    <n v="6"/>
    <s v="Paris"/>
    <s v="France"/>
    <x v="0"/>
    <x v="5"/>
    <n v="5"/>
    <x v="5"/>
    <x v="0"/>
    <x v="0"/>
    <s v="American"/>
    <x v="0"/>
    <n v="300"/>
    <n v="1500"/>
    <x v="0"/>
    <n v="160"/>
    <n v="800"/>
  </r>
  <r>
    <n v="7"/>
    <s v="Sydney"/>
    <s v="Australia"/>
    <x v="3"/>
    <x v="6"/>
    <n v="10"/>
    <x v="6"/>
    <x v="0"/>
    <x v="1"/>
    <s v="Australian"/>
    <x v="4"/>
    <n v="50"/>
    <n v="500"/>
    <x v="0"/>
    <n v="120"/>
    <n v="1200"/>
  </r>
  <r>
    <n v="8"/>
    <s v="Rio de Janeiro"/>
    <s v="Brazil"/>
    <x v="4"/>
    <x v="7"/>
    <n v="7"/>
    <x v="7"/>
    <x v="1"/>
    <x v="0"/>
    <s v="Brazilian"/>
    <x v="3"/>
    <n v="128.57142857142858"/>
    <n v="900"/>
    <x v="0"/>
    <n v="85.714285714285708"/>
    <n v="600"/>
  </r>
  <r>
    <n v="9"/>
    <s v="Amsterdam"/>
    <s v="Netherlands"/>
    <x v="0"/>
    <x v="8"/>
    <n v="7"/>
    <x v="8"/>
    <x v="0"/>
    <x v="1"/>
    <s v="Dutch"/>
    <x v="0"/>
    <n v="171.42857142857142"/>
    <n v="1200"/>
    <x v="1"/>
    <n v="28.571428571428573"/>
    <n v="200"/>
  </r>
  <r>
    <n v="10"/>
    <s v="Dubai"/>
    <s v="United Arab Emirates"/>
    <x v="1"/>
    <x v="9"/>
    <n v="7"/>
    <x v="9"/>
    <x v="0"/>
    <x v="0"/>
    <s v="Emirati"/>
    <x v="1"/>
    <n v="357.14285714285717"/>
    <n v="2500"/>
    <x v="0"/>
    <n v="114.28571428571429"/>
    <n v="800"/>
  </r>
  <r>
    <n v="11"/>
    <s v="Cancun"/>
    <s v="Mexico"/>
    <x v="2"/>
    <x v="10"/>
    <n v="7"/>
    <x v="10"/>
    <x v="1"/>
    <x v="1"/>
    <s v="Mexican"/>
    <x v="0"/>
    <n v="142.85714285714286"/>
    <n v="1000"/>
    <x v="0"/>
    <n v="71.428571428571431"/>
    <n v="500"/>
  </r>
  <r>
    <n v="12"/>
    <s v="Barcelona"/>
    <s v="Spain"/>
    <x v="0"/>
    <x v="11"/>
    <n v="7"/>
    <x v="11"/>
    <x v="0"/>
    <x v="0"/>
    <s v="Spanish"/>
    <x v="3"/>
    <n v="114.28571428571429"/>
    <n v="800"/>
    <x v="1"/>
    <n v="14.285714285714286"/>
    <n v="100"/>
  </r>
  <r>
    <n v="13"/>
    <s v="Honolulu"/>
    <s v="Hawaii"/>
    <x v="2"/>
    <x v="12"/>
    <n v="8"/>
    <x v="3"/>
    <x v="1"/>
    <x v="1"/>
    <s v="Chinese"/>
    <x v="1"/>
    <n v="375"/>
    <n v="3000"/>
    <x v="0"/>
    <n v="150"/>
    <n v="1200"/>
  </r>
  <r>
    <n v="14"/>
    <s v="Berlin"/>
    <s v="Germany"/>
    <x v="0"/>
    <x v="13"/>
    <n v="9"/>
    <x v="12"/>
    <x v="2"/>
    <x v="0"/>
    <s v="German"/>
    <x v="0"/>
    <n v="155.55555555555554"/>
    <n v="1400"/>
    <x v="0"/>
    <n v="77.777777777777771"/>
    <n v="700"/>
  </r>
  <r>
    <n v="15"/>
    <s v="Marrakech"/>
    <s v="Morocco"/>
    <x v="5"/>
    <x v="14"/>
    <n v="7"/>
    <x v="4"/>
    <x v="1"/>
    <x v="1"/>
    <s v="Moroccan"/>
    <x v="5"/>
    <n v="85.714285714285708"/>
    <n v="600"/>
    <x v="0"/>
    <n v="57.142857142857146"/>
    <n v="400"/>
  </r>
  <r>
    <n v="16"/>
    <s v="Edinburgh"/>
    <s v="Scotland"/>
    <x v="0"/>
    <x v="15"/>
    <n v="7"/>
    <x v="13"/>
    <x v="0"/>
    <x v="0"/>
    <s v="Scottish"/>
    <x v="0"/>
    <n v="128.57142857142901"/>
    <n v="900"/>
    <x v="1"/>
    <n v="21.428571428571427"/>
    <n v="150"/>
  </r>
  <r>
    <n v="17"/>
    <s v="Paris"/>
    <s v="France"/>
    <x v="0"/>
    <x v="16"/>
    <n v="9"/>
    <x v="14"/>
    <x v="0"/>
    <x v="1"/>
    <s v="American"/>
    <x v="0"/>
    <n v="100"/>
    <n v="900"/>
    <x v="0"/>
    <n v="44.444444444444443"/>
    <n v="400"/>
  </r>
  <r>
    <n v="18"/>
    <s v="Bali"/>
    <s v="Indonesia"/>
    <x v="1"/>
    <x v="3"/>
    <n v="10"/>
    <x v="1"/>
    <x v="1"/>
    <x v="0"/>
    <s v="Chinese"/>
    <x v="1"/>
    <n v="150"/>
    <n v="1500"/>
    <x v="0"/>
    <n v="70"/>
    <n v="700"/>
  </r>
  <r>
    <n v="19"/>
    <s v="London"/>
    <s v="UK"/>
    <x v="0"/>
    <x v="17"/>
    <n v="6"/>
    <x v="0"/>
    <x v="0"/>
    <x v="1"/>
    <s v="British"/>
    <x v="0"/>
    <n v="200"/>
    <n v="1200"/>
    <x v="1"/>
    <n v="25"/>
    <n v="150"/>
  </r>
  <r>
    <n v="20"/>
    <s v="Tokyo"/>
    <s v="Japan"/>
    <x v="1"/>
    <x v="5"/>
    <n v="10"/>
    <x v="2"/>
    <x v="2"/>
    <x v="0"/>
    <s v="Japanese"/>
    <x v="0"/>
    <n v="120"/>
    <n v="1200"/>
    <x v="0"/>
    <n v="80"/>
    <n v="800"/>
  </r>
  <r>
    <n v="21"/>
    <s v="New York"/>
    <s v="USA"/>
    <x v="2"/>
    <x v="6"/>
    <n v="5"/>
    <x v="10"/>
    <x v="1"/>
    <x v="1"/>
    <s v="American"/>
    <x v="3"/>
    <n v="120"/>
    <n v="600"/>
    <x v="2"/>
    <n v="20"/>
    <n v="100"/>
  </r>
  <r>
    <n v="22"/>
    <s v="Sydney"/>
    <s v="Australia"/>
    <x v="3"/>
    <x v="18"/>
    <n v="7"/>
    <x v="13"/>
    <x v="0"/>
    <x v="0"/>
    <s v="Australian"/>
    <x v="0"/>
    <n v="142.85714285714286"/>
    <n v="1000"/>
    <x v="0"/>
    <n v="85.714285714285708"/>
    <n v="600"/>
  </r>
  <r>
    <n v="23"/>
    <s v="Rome"/>
    <s v="Italy"/>
    <x v="0"/>
    <x v="19"/>
    <n v="7"/>
    <x v="3"/>
    <x v="1"/>
    <x v="1"/>
    <s v="Italian"/>
    <x v="3"/>
    <n v="100"/>
    <n v="700"/>
    <x v="1"/>
    <n v="11.428571428571429"/>
    <n v="80"/>
  </r>
  <r>
    <n v="24"/>
    <s v="Bangkok"/>
    <s v="Thailand"/>
    <x v="1"/>
    <x v="20"/>
    <n v="8"/>
    <x v="15"/>
    <x v="0"/>
    <x v="0"/>
    <s v="Indian"/>
    <x v="4"/>
    <n v="50"/>
    <n v="400"/>
    <x v="0"/>
    <n v="62.5"/>
    <n v="500"/>
  </r>
  <r>
    <n v="25"/>
    <s v="Paris"/>
    <s v="France"/>
    <x v="0"/>
    <x v="21"/>
    <n v="6"/>
    <x v="16"/>
    <x v="1"/>
    <x v="1"/>
    <s v="Vietnamese"/>
    <x v="0"/>
    <n v="233.33333333333334"/>
    <n v="1400"/>
    <x v="1"/>
    <n v="16.666666666666668"/>
    <n v="100"/>
  </r>
  <r>
    <n v="26"/>
    <s v="Hawaii"/>
    <s v="USA"/>
    <x v="2"/>
    <x v="22"/>
    <n v="9"/>
    <x v="17"/>
    <x v="0"/>
    <x v="0"/>
    <s v="Korean"/>
    <x v="1"/>
    <n v="222.22222222222223"/>
    <n v="2000"/>
    <x v="0"/>
    <n v="88.888888888888886"/>
    <n v="800"/>
  </r>
  <r>
    <n v="27"/>
    <s v="Barcelona"/>
    <s v="Spain"/>
    <x v="0"/>
    <x v="23"/>
    <n v="8"/>
    <x v="8"/>
    <x v="0"/>
    <x v="1"/>
    <s v="Spanish"/>
    <x v="0"/>
    <n v="137.5"/>
    <n v="1100"/>
    <x v="1"/>
    <n v="18.75"/>
    <n v="150"/>
  </r>
  <r>
    <n v="28"/>
    <s v="Japan"/>
    <s v="Japan"/>
    <x v="1"/>
    <x v="24"/>
    <n v="8"/>
    <x v="14"/>
    <x v="0"/>
    <x v="1"/>
    <s v="American"/>
    <x v="0"/>
    <n v="100"/>
    <n v="800"/>
    <x v="0"/>
    <n v="62.5"/>
    <n v="500"/>
  </r>
  <r>
    <n v="29"/>
    <s v="Thailand"/>
    <s v="Thailand"/>
    <x v="1"/>
    <x v="25"/>
    <n v="7"/>
    <x v="2"/>
    <x v="2"/>
    <x v="0"/>
    <s v="Canadian"/>
    <x v="4"/>
    <n v="28.571428571428573"/>
    <n v="200"/>
    <x v="1"/>
    <n v="21.428571428571427"/>
    <n v="150"/>
  </r>
  <r>
    <n v="30"/>
    <s v="France"/>
    <s v="France"/>
    <x v="0"/>
    <x v="26"/>
    <n v="9"/>
    <x v="7"/>
    <x v="1"/>
    <x v="0"/>
    <s v="Korean"/>
    <x v="3"/>
    <n v="66.666666666666671"/>
    <n v="600"/>
    <x v="3"/>
    <n v="33.333333333333336"/>
    <n v="300"/>
  </r>
  <r>
    <n v="31"/>
    <s v="Australia"/>
    <s v="Australia"/>
    <x v="3"/>
    <x v="27"/>
    <n v="13"/>
    <x v="1"/>
    <x v="1"/>
    <x v="1"/>
    <s v="British"/>
    <x v="0"/>
    <n v="76.92307692307692"/>
    <n v="1000"/>
    <x v="3"/>
    <n v="38.46153846153846"/>
    <n v="500"/>
  </r>
  <r>
    <n v="32"/>
    <s v="Brazil"/>
    <s v="Brazil"/>
    <x v="4"/>
    <x v="28"/>
    <n v="9"/>
    <x v="6"/>
    <x v="0"/>
    <x v="1"/>
    <s v="Australian"/>
    <x v="4"/>
    <n v="16.666666666666668"/>
    <n v="150"/>
    <x v="2"/>
    <n v="5.5555555555555554"/>
    <n v="50"/>
  </r>
  <r>
    <n v="33"/>
    <s v="Greece"/>
    <s v="Greece"/>
    <x v="0"/>
    <x v="29"/>
    <n v="8"/>
    <x v="18"/>
    <x v="1"/>
    <x v="0"/>
    <s v="American"/>
    <x v="3"/>
    <n v="50"/>
    <n v="400"/>
    <x v="0"/>
    <n v="75"/>
    <n v="600"/>
  </r>
  <r>
    <n v="34"/>
    <s v="Egypt"/>
    <s v="Egypt"/>
    <x v="5"/>
    <x v="30"/>
    <n v="7"/>
    <x v="19"/>
    <x v="0"/>
    <x v="1"/>
    <s v="Canadian"/>
    <x v="0"/>
    <n v="100"/>
    <n v="700"/>
    <x v="1"/>
    <n v="14.285714285714286"/>
    <n v="100"/>
  </r>
  <r>
    <n v="35"/>
    <s v="Mexico"/>
    <s v="Mexico"/>
    <x v="2"/>
    <x v="31"/>
    <n v="10"/>
    <x v="5"/>
    <x v="0"/>
    <x v="0"/>
    <s v="British"/>
    <x v="3"/>
    <n v="50"/>
    <n v="500"/>
    <x v="0"/>
    <n v="80"/>
    <n v="800"/>
  </r>
  <r>
    <n v="36"/>
    <s v="Italy"/>
    <s v="Italy"/>
    <x v="0"/>
    <x v="32"/>
    <n v="6"/>
    <x v="8"/>
    <x v="0"/>
    <x v="1"/>
    <s v="American"/>
    <x v="4"/>
    <n v="30"/>
    <n v="180"/>
    <x v="1"/>
    <n v="20"/>
    <n v="120"/>
  </r>
  <r>
    <n v="37"/>
    <s v="Spain"/>
    <s v="Spain"/>
    <x v="0"/>
    <x v="33"/>
    <n v="8"/>
    <x v="10"/>
    <x v="1"/>
    <x v="0"/>
    <s v="Korean"/>
    <x v="0"/>
    <n v="112.5"/>
    <n v="900"/>
    <x v="3"/>
    <n v="50"/>
    <n v="400"/>
  </r>
  <r>
    <n v="38"/>
    <s v="Canada"/>
    <s v="Canada"/>
    <x v="2"/>
    <x v="34"/>
    <n v="7"/>
    <x v="20"/>
    <x v="0"/>
    <x v="1"/>
    <s v="Australian"/>
    <x v="3"/>
    <n v="50"/>
    <n v="350"/>
    <x v="2"/>
    <n v="10.714285714285714"/>
    <n v="75"/>
  </r>
  <r>
    <n v="39"/>
    <s v="Paris"/>
    <s v="France"/>
    <x v="0"/>
    <x v="35"/>
    <n v="7"/>
    <x v="7"/>
    <x v="1"/>
    <x v="1"/>
    <s v="American"/>
    <x v="0"/>
    <n v="200"/>
    <n v="1400"/>
    <x v="0"/>
    <n v="85.714285714285708"/>
    <n v="600"/>
  </r>
  <r>
    <n v="40"/>
    <s v="Sydney"/>
    <s v="Australia"/>
    <x v="3"/>
    <x v="36"/>
    <n v="7"/>
    <x v="6"/>
    <x v="0"/>
    <x v="0"/>
    <s v="Canadian"/>
    <x v="3"/>
    <n v="114.28571428571429"/>
    <n v="800"/>
    <x v="1"/>
    <n v="21.428571428571427"/>
    <n v="150"/>
  </r>
  <r>
    <n v="41"/>
    <s v="Tokyo"/>
    <s v="Japan"/>
    <x v="1"/>
    <x v="37"/>
    <n v="8"/>
    <x v="1"/>
    <x v="1"/>
    <x v="1"/>
    <s v="Chinese"/>
    <x v="4"/>
    <n v="62.5"/>
    <n v="500"/>
    <x v="0"/>
    <n v="112.5"/>
    <n v="900"/>
  </r>
  <r>
    <n v="42"/>
    <s v="Cancun"/>
    <s v="Mexico"/>
    <x v="2"/>
    <x v="2"/>
    <n v="7"/>
    <x v="2"/>
    <x v="2"/>
    <x v="0"/>
    <s v="American"/>
    <x v="1"/>
    <n v="314.28571428571428"/>
    <n v="2200"/>
    <x v="0"/>
    <n v="114.28571428571429"/>
    <n v="800"/>
  </r>
  <r>
    <n v="43"/>
    <s v="Rio de Janeiro"/>
    <s v="Brazil"/>
    <x v="4"/>
    <x v="38"/>
    <n v="7"/>
    <x v="14"/>
    <x v="0"/>
    <x v="1"/>
    <s v="Brazilian"/>
    <x v="0"/>
    <n v="171.42857142857142"/>
    <n v="1200"/>
    <x v="0"/>
    <n v="100"/>
    <n v="700"/>
  </r>
  <r>
    <n v="44"/>
    <s v="London"/>
    <s v="UK"/>
    <x v="0"/>
    <x v="39"/>
    <n v="7"/>
    <x v="21"/>
    <x v="2"/>
    <x v="0"/>
    <s v="British"/>
    <x v="3"/>
    <n v="128.57142857142858"/>
    <n v="900"/>
    <x v="1"/>
    <n v="14.285714285714286"/>
    <n v="100"/>
  </r>
  <r>
    <n v="45"/>
    <s v="Barcelona"/>
    <s v="Spain"/>
    <x v="0"/>
    <x v="40"/>
    <n v="7"/>
    <x v="10"/>
    <x v="1"/>
    <x v="1"/>
    <s v="Spanish"/>
    <x v="4"/>
    <n v="85.714285714285708"/>
    <n v="600"/>
    <x v="0"/>
    <n v="85.714285714285708"/>
    <n v="600"/>
  </r>
  <r>
    <n v="46"/>
    <s v="New York City"/>
    <s v="USA"/>
    <x v="2"/>
    <x v="41"/>
    <n v="7"/>
    <x v="22"/>
    <x v="0"/>
    <x v="0"/>
    <s v="American"/>
    <x v="0"/>
    <n v="214.28571428571428"/>
    <n v="1500"/>
    <x v="0"/>
    <n v="71.428571428571431"/>
    <n v="500"/>
  </r>
  <r>
    <n v="47"/>
    <s v="Bangkok"/>
    <s v="Thailand"/>
    <x v="1"/>
    <x v="0"/>
    <n v="6"/>
    <x v="3"/>
    <x v="1"/>
    <x v="1"/>
    <s v="Indian"/>
    <x v="3"/>
    <n v="83.333333333333329"/>
    <n v="500"/>
    <x v="2"/>
    <n v="8.3333333333333339"/>
    <n v="50"/>
  </r>
  <r>
    <n v="48"/>
    <s v="Vancouver"/>
    <s v="Canada"/>
    <x v="2"/>
    <x v="42"/>
    <n v="7"/>
    <x v="16"/>
    <x v="1"/>
    <x v="0"/>
    <s v="Korean"/>
    <x v="4"/>
    <n v="57.142857142857146"/>
    <n v="400"/>
    <x v="1"/>
    <n v="21.428571428571427"/>
    <n v="150"/>
  </r>
  <r>
    <n v="49"/>
    <s v="Amsterdam"/>
    <s v="Netherlands"/>
    <x v="0"/>
    <x v="43"/>
    <n v="8"/>
    <x v="8"/>
    <x v="0"/>
    <x v="1"/>
    <s v="Dutch"/>
    <x v="0"/>
    <n v="137.5"/>
    <n v="1100"/>
    <x v="0"/>
    <n v="87.5"/>
    <n v="700"/>
  </r>
  <r>
    <n v="50"/>
    <s v="Paris"/>
    <s v="France"/>
    <x v="0"/>
    <x v="3"/>
    <n v="7"/>
    <x v="8"/>
    <x v="0"/>
    <x v="1"/>
    <s v="Canadian"/>
    <x v="0"/>
    <n v="171.42857142857142"/>
    <n v="1200"/>
    <x v="1"/>
    <n v="42.857142857142854"/>
    <n v="300"/>
  </r>
  <r>
    <n v="51"/>
    <s v="Tokyo"/>
    <s v="Japan"/>
    <x v="1"/>
    <x v="44"/>
    <n v="10"/>
    <x v="7"/>
    <x v="1"/>
    <x v="0"/>
    <s v="American"/>
    <x v="4"/>
    <n v="50"/>
    <n v="500"/>
    <x v="2"/>
    <n v="10"/>
    <n v="100"/>
  </r>
  <r>
    <n v="52"/>
    <s v="Sydney"/>
    <s v="Australia"/>
    <x v="3"/>
    <x v="45"/>
    <n v="7"/>
    <x v="10"/>
    <x v="1"/>
    <x v="1"/>
    <s v="South Korean"/>
    <x v="3"/>
    <n v="128.57142857142858"/>
    <n v="900"/>
    <x v="3"/>
    <n v="28.571428571428573"/>
    <n v="200"/>
  </r>
  <r>
    <n v="53"/>
    <s v="New York"/>
    <s v="USA"/>
    <x v="2"/>
    <x v="46"/>
    <n v="7"/>
    <x v="1"/>
    <x v="1"/>
    <x v="1"/>
    <s v="Canadian"/>
    <x v="0"/>
    <n v="200"/>
    <n v="1400"/>
    <x v="0"/>
    <n v="114.28571428571429"/>
    <n v="800"/>
  </r>
  <r>
    <n v="54"/>
    <s v="Rio de Janeiro"/>
    <s v="Brazil"/>
    <x v="4"/>
    <x v="47"/>
    <n v="9"/>
    <x v="14"/>
    <x v="0"/>
    <x v="0"/>
    <s v="Brazilian"/>
    <x v="3"/>
    <n v="88.888888888888886"/>
    <n v="800"/>
    <x v="1"/>
    <n v="16.666666666666668"/>
    <n v="150"/>
  </r>
  <r>
    <n v="55"/>
    <s v="Bangkok"/>
    <s v="Thailand"/>
    <x v="1"/>
    <x v="48"/>
    <n v="8"/>
    <x v="23"/>
    <x v="1"/>
    <x v="1"/>
    <s v="Indian"/>
    <x v="4"/>
    <n v="50"/>
    <n v="400"/>
    <x v="2"/>
    <n v="6.25"/>
    <n v="50"/>
  </r>
  <r>
    <n v="56"/>
    <s v="London"/>
    <s v="UK"/>
    <x v="0"/>
    <x v="49"/>
    <n v="8"/>
    <x v="0"/>
    <x v="0"/>
    <x v="0"/>
    <s v="British"/>
    <x v="0"/>
    <n v="125"/>
    <n v="1000"/>
    <x v="1"/>
    <n v="25"/>
    <n v="200"/>
  </r>
  <r>
    <n v="57"/>
    <s v="Barcelona"/>
    <s v="Spain"/>
    <x v="0"/>
    <x v="50"/>
    <n v="8"/>
    <x v="3"/>
    <x v="1"/>
    <x v="1"/>
    <s v="Spanish"/>
    <x v="3"/>
    <n v="87.5"/>
    <n v="700"/>
    <x v="3"/>
    <n v="31.25"/>
    <n v="250"/>
  </r>
  <r>
    <n v="58"/>
    <s v="Seoul"/>
    <s v="South Korea"/>
    <x v="1"/>
    <x v="51"/>
    <n v="8"/>
    <x v="10"/>
    <x v="1"/>
    <x v="0"/>
    <s v="South Korean"/>
    <x v="4"/>
    <n v="62.5"/>
    <n v="500"/>
    <x v="1"/>
    <n v="2.5"/>
    <n v="20"/>
  </r>
  <r>
    <n v="59"/>
    <s v="Los Angeles"/>
    <s v="USA"/>
    <x v="2"/>
    <x v="52"/>
    <n v="7"/>
    <x v="4"/>
    <x v="1"/>
    <x v="0"/>
    <s v="Chinese"/>
    <x v="0"/>
    <n v="171.42857142857142"/>
    <n v="1200"/>
    <x v="3"/>
    <n v="42.857142857142854"/>
    <n v="300"/>
  </r>
  <r>
    <n v="60"/>
    <s v="Rome"/>
    <s v="Italy"/>
    <x v="0"/>
    <x v="53"/>
    <n v="8"/>
    <x v="6"/>
    <x v="0"/>
    <x v="1"/>
    <s v="Italian"/>
    <x v="3"/>
    <n v="100"/>
    <n v="800"/>
    <x v="1"/>
    <n v="12.5"/>
    <n v="100"/>
  </r>
  <r>
    <n v="61"/>
    <s v="Paris"/>
    <s v="France"/>
    <x v="0"/>
    <x v="54"/>
    <n v="6"/>
    <x v="0"/>
    <x v="0"/>
    <x v="1"/>
    <s v="American"/>
    <x v="0"/>
    <n v="200"/>
    <n v="1200"/>
    <x v="0"/>
    <n v="133.33333333333334"/>
    <n v="800"/>
  </r>
  <r>
    <n v="62"/>
    <s v="Tokyo"/>
    <s v="Japan"/>
    <x v="1"/>
    <x v="55"/>
    <n v="7"/>
    <x v="1"/>
    <x v="1"/>
    <x v="0"/>
    <s v="Japanese"/>
    <x v="4"/>
    <n v="57.142857142857146"/>
    <n v="400"/>
    <x v="1"/>
    <n v="42.857142857142854"/>
    <n v="300"/>
  </r>
  <r>
    <n v="63"/>
    <s v="Cape Town"/>
    <s v="South Africa"/>
    <x v="5"/>
    <x v="56"/>
    <n v="9"/>
    <x v="3"/>
    <x v="1"/>
    <x v="1"/>
    <s v="British"/>
    <x v="3"/>
    <n v="88.888888888888886"/>
    <n v="800"/>
    <x v="3"/>
    <n v="22.222222222222221"/>
    <n v="200"/>
  </r>
  <r>
    <n v="64"/>
    <s v="Sydney"/>
    <s v="Australia"/>
    <x v="3"/>
    <x v="57"/>
    <n v="6"/>
    <x v="24"/>
    <x v="0"/>
    <x v="0"/>
    <s v="Australian"/>
    <x v="0"/>
    <n v="250"/>
    <n v="1500"/>
    <x v="0"/>
    <n v="200"/>
    <n v="1200"/>
  </r>
  <r>
    <n v="65"/>
    <s v="Barcelona"/>
    <s v="Spain"/>
    <x v="0"/>
    <x v="40"/>
    <n v="7"/>
    <x v="8"/>
    <x v="0"/>
    <x v="1"/>
    <s v="Spanish"/>
    <x v="0"/>
    <n v="128.57142857142858"/>
    <n v="900"/>
    <x v="0"/>
    <n v="100"/>
    <n v="700"/>
  </r>
  <r>
    <n v="66"/>
    <s v="Bali"/>
    <s v="Indonesia"/>
    <x v="1"/>
    <x v="48"/>
    <n v="7"/>
    <x v="10"/>
    <x v="1"/>
    <x v="0"/>
    <s v="American"/>
    <x v="1"/>
    <n v="314.28571428571428"/>
    <n v="2200"/>
    <x v="0"/>
    <n v="142.85714285714286"/>
    <n v="1000"/>
  </r>
  <r>
    <n v="67"/>
    <s v="Paris"/>
    <s v="France"/>
    <x v="0"/>
    <x v="58"/>
    <n v="6"/>
    <x v="9"/>
    <x v="0"/>
    <x v="1"/>
    <s v="French"/>
    <x v="0"/>
    <n v="183.33333333333334"/>
    <n v="1100"/>
    <x v="1"/>
    <n v="33.333333333333336"/>
    <n v="200"/>
  </r>
  <r>
    <n v="68"/>
    <s v="New York"/>
    <s v="USA"/>
    <x v="2"/>
    <x v="59"/>
    <n v="6"/>
    <x v="7"/>
    <x v="1"/>
    <x v="0"/>
    <s v="American"/>
    <x v="3"/>
    <n v="166.66666666666666"/>
    <n v="1000"/>
    <x v="0"/>
    <n v="133.33333333333334"/>
    <n v="800"/>
  </r>
  <r>
    <n v="69"/>
    <s v="Bangkok"/>
    <s v="Thailand"/>
    <x v="1"/>
    <x v="60"/>
    <n v="8"/>
    <x v="6"/>
    <x v="0"/>
    <x v="1"/>
    <s v="Indian"/>
    <x v="4"/>
    <n v="37.5"/>
    <n v="300"/>
    <x v="0"/>
    <n v="87.5"/>
    <n v="700"/>
  </r>
  <r>
    <n v="70"/>
    <s v="Rome"/>
    <s v="Italy"/>
    <x v="0"/>
    <x v="61"/>
    <n v="6"/>
    <x v="22"/>
    <x v="0"/>
    <x v="0"/>
    <s v="Italian"/>
    <x v="0"/>
    <n v="216.66666666666666"/>
    <n v="1300"/>
    <x v="1"/>
    <n v="16.666666666666668"/>
    <n v="100"/>
  </r>
  <r>
    <n v="71"/>
    <s v="Bali"/>
    <s v="Indonesia"/>
    <x v="1"/>
    <x v="62"/>
    <n v="8"/>
    <x v="19"/>
    <x v="0"/>
    <x v="1"/>
    <s v="British"/>
    <x v="1"/>
    <n v="225"/>
    <n v="1800"/>
    <x v="0"/>
    <n v="125"/>
    <n v="1000"/>
  </r>
  <r>
    <n v="72"/>
    <s v="Bali"/>
    <s v="Indonesia"/>
    <x v="1"/>
    <x v="63"/>
    <n v="7"/>
    <x v="0"/>
    <x v="0"/>
    <x v="1"/>
    <s v="South Korean"/>
    <x v="1"/>
    <n v="71.428571428571431"/>
    <n v="500"/>
    <x v="0"/>
    <n v="114.28571428571429"/>
    <n v="800"/>
  </r>
  <r>
    <n v="73"/>
    <s v="Tokyo"/>
    <s v="Japan"/>
    <x v="1"/>
    <x v="64"/>
    <n v="8"/>
    <x v="3"/>
    <x v="1"/>
    <x v="0"/>
    <s v="American"/>
    <x v="0"/>
    <n v="125"/>
    <n v="1000"/>
    <x v="1"/>
    <n v="25"/>
    <n v="200"/>
  </r>
  <r>
    <n v="74"/>
    <s v="Cancun"/>
    <s v="Mexico"/>
    <x v="2"/>
    <x v="65"/>
    <n v="7"/>
    <x v="5"/>
    <x v="0"/>
    <x v="1"/>
    <s v="Mexican"/>
    <x v="1"/>
    <n v="114.28571428571429"/>
    <n v="800"/>
    <x v="0"/>
    <n v="71.428571428571431"/>
    <n v="500"/>
  </r>
  <r>
    <n v="75"/>
    <s v="Paris"/>
    <s v="France"/>
    <x v="0"/>
    <x v="66"/>
    <n v="7"/>
    <x v="25"/>
    <x v="2"/>
    <x v="0"/>
    <s v="British"/>
    <x v="0"/>
    <n v="171.42857142857142"/>
    <n v="1200"/>
    <x v="0"/>
    <n v="100"/>
    <n v="700"/>
  </r>
  <r>
    <n v="76"/>
    <s v="Cape Town"/>
    <s v="South Africa"/>
    <x v="5"/>
    <x v="16"/>
    <n v="9"/>
    <x v="8"/>
    <x v="0"/>
    <x v="0"/>
    <s v="South African"/>
    <x v="6"/>
    <n v="44.444444444444443"/>
    <n v="400"/>
    <x v="3"/>
    <n v="33.333333333333336"/>
    <n v="300"/>
  </r>
  <r>
    <n v="77"/>
    <s v="Bali"/>
    <s v="Indonesia"/>
    <x v="1"/>
    <x v="67"/>
    <n v="7"/>
    <x v="7"/>
    <x v="1"/>
    <x v="1"/>
    <s v="Taiwanese"/>
    <x v="1"/>
    <n v="85.714285714285708"/>
    <n v="600"/>
    <x v="0"/>
    <n v="100"/>
    <n v="700"/>
  </r>
  <r>
    <n v="78"/>
    <s v="Sydney"/>
    <s v="Australia"/>
    <x v="3"/>
    <x v="68"/>
    <n v="7"/>
    <x v="20"/>
    <x v="0"/>
    <x v="0"/>
    <s v="Australian"/>
    <x v="0"/>
    <n v="128.57142857142858"/>
    <n v="900"/>
    <x v="0"/>
    <n v="85.714285714285708"/>
    <n v="600"/>
  </r>
  <r>
    <n v="79"/>
    <s v="Bangkok"/>
    <s v="Thailand"/>
    <x v="1"/>
    <x v="11"/>
    <n v="7"/>
    <x v="10"/>
    <x v="1"/>
    <x v="1"/>
    <s v="Korean"/>
    <x v="0"/>
    <n v="57.142857142857146"/>
    <n v="400"/>
    <x v="0"/>
    <n v="57.142857142857146"/>
    <n v="400"/>
  </r>
  <r>
    <n v="80"/>
    <s v="New York"/>
    <s v="USA"/>
    <x v="2"/>
    <x v="14"/>
    <n v="7"/>
    <x v="26"/>
    <x v="2"/>
    <x v="0"/>
    <s v="American"/>
    <x v="0"/>
    <n v="214.28571428571428"/>
    <n v="1500"/>
    <x v="0"/>
    <n v="142.85714285714286"/>
    <n v="1000"/>
  </r>
  <r>
    <n v="81"/>
    <s v="Phuket"/>
    <s v="Thailand"/>
    <x v="1"/>
    <x v="69"/>
    <n v="7"/>
    <x v="13"/>
    <x v="0"/>
    <x v="1"/>
    <s v="British"/>
    <x v="1"/>
    <n v="100"/>
    <n v="700"/>
    <x v="0"/>
    <n v="114.28571428571429"/>
    <n v="800"/>
  </r>
  <r>
    <n v="82"/>
    <s v="Rome"/>
    <s v="Italy"/>
    <x v="0"/>
    <x v="70"/>
    <n v="7"/>
    <x v="22"/>
    <x v="0"/>
    <x v="0"/>
    <s v="American"/>
    <x v="0"/>
    <n v="14.285714285714286"/>
    <n v="100"/>
    <x v="0"/>
    <n v="100"/>
    <n v="700"/>
  </r>
  <r>
    <n v="83"/>
    <s v="Paris"/>
    <s v="France"/>
    <x v="0"/>
    <x v="71"/>
    <n v="6"/>
    <x v="0"/>
    <x v="0"/>
    <x v="0"/>
    <s v="American"/>
    <x v="0"/>
    <n v="133.33333333333334"/>
    <n v="800"/>
    <x v="0"/>
    <n v="83.333333333333329"/>
    <n v="500"/>
  </r>
  <r>
    <n v="84"/>
    <s v="Tokyo"/>
    <s v="Japan"/>
    <x v="1"/>
    <x v="72"/>
    <n v="10"/>
    <x v="1"/>
    <x v="1"/>
    <x v="1"/>
    <s v="Korean"/>
    <x v="3"/>
    <n v="50"/>
    <n v="500"/>
    <x v="1"/>
    <n v="30"/>
    <n v="300"/>
  </r>
  <r>
    <n v="85"/>
    <s v="Bali"/>
    <s v="Indonesia"/>
    <x v="1"/>
    <x v="73"/>
    <n v="11"/>
    <x v="5"/>
    <x v="0"/>
    <x v="1"/>
    <s v="Spanish"/>
    <x v="1"/>
    <n v="109.09090909090909"/>
    <n v="1200"/>
    <x v="0"/>
    <n v="63.636363636363633"/>
    <n v="700"/>
  </r>
  <r>
    <n v="86"/>
    <s v="Sydney"/>
    <s v="Australia"/>
    <x v="3"/>
    <x v="74"/>
    <n v="9"/>
    <x v="2"/>
    <x v="2"/>
    <x v="0"/>
    <s v="Australian"/>
    <x v="0"/>
    <n v="100"/>
    <n v="900"/>
    <x v="0"/>
    <n v="66.666666666666671"/>
    <n v="600"/>
  </r>
  <r>
    <n v="87"/>
    <s v="New York"/>
    <s v="USA"/>
    <x v="2"/>
    <x v="75"/>
    <n v="6"/>
    <x v="8"/>
    <x v="0"/>
    <x v="1"/>
    <s v="American"/>
    <x v="3"/>
    <n v="116.66666666666667"/>
    <n v="700"/>
    <x v="3"/>
    <n v="33.333333333333336"/>
    <n v="200"/>
  </r>
  <r>
    <n v="88"/>
    <s v="London"/>
    <s v="UK"/>
    <x v="0"/>
    <x v="76"/>
    <n v="11"/>
    <x v="3"/>
    <x v="1"/>
    <x v="0"/>
    <s v="British"/>
    <x v="4"/>
    <n v="27.272727272727273"/>
    <n v="300"/>
    <x v="0"/>
    <n v="36.363636363636367"/>
    <n v="400"/>
  </r>
  <r>
    <n v="89"/>
    <s v="Dubai"/>
    <s v="United Arab Emirates"/>
    <x v="1"/>
    <x v="77"/>
    <n v="8"/>
    <x v="16"/>
    <x v="1"/>
    <x v="1"/>
    <s v="Emirati"/>
    <x v="0"/>
    <n v="125"/>
    <n v="1000"/>
    <x v="0"/>
    <n v="100"/>
    <n v="800"/>
  </r>
  <r>
    <n v="90"/>
    <s v="Bangkok"/>
    <s v="Thailand"/>
    <x v="1"/>
    <x v="78"/>
    <n v="7"/>
    <x v="4"/>
    <x v="1"/>
    <x v="0"/>
    <s v="Vietnamese"/>
    <x v="3"/>
    <n v="57.142857142857146"/>
    <n v="400"/>
    <x v="1"/>
    <n v="14.285714285714286"/>
    <n v="100"/>
  </r>
  <r>
    <n v="91"/>
    <s v="Rome"/>
    <s v="Italy"/>
    <x v="0"/>
    <x v="79"/>
    <n v="11"/>
    <x v="14"/>
    <x v="0"/>
    <x v="1"/>
    <s v="Italian"/>
    <x v="4"/>
    <n v="18.181818181818183"/>
    <n v="200"/>
    <x v="0"/>
    <n v="31.818181818181817"/>
    <n v="350"/>
  </r>
  <r>
    <n v="92"/>
    <s v="Bali"/>
    <s v="Indonesia"/>
    <x v="1"/>
    <x v="80"/>
    <n v="11"/>
    <x v="6"/>
    <x v="0"/>
    <x v="0"/>
    <s v="Indonesian"/>
    <x v="2"/>
    <n v="136.36363636363637"/>
    <n v="1500"/>
    <x v="3"/>
    <n v="27.272727272727273"/>
    <n v="300"/>
  </r>
  <r>
    <n v="93"/>
    <s v="Seoul"/>
    <s v="South Korea"/>
    <x v="1"/>
    <x v="81"/>
    <n v="10"/>
    <x v="10"/>
    <x v="1"/>
    <x v="1"/>
    <s v="Korean"/>
    <x v="0"/>
    <n v="80"/>
    <n v="800"/>
    <x v="1"/>
    <n v="15"/>
    <n v="150"/>
  </r>
  <r>
    <n v="94"/>
    <s v="Paris"/>
    <s v="France"/>
    <x v="0"/>
    <x v="25"/>
    <n v="5"/>
    <x v="0"/>
    <x v="0"/>
    <x v="0"/>
    <s v="USA"/>
    <x v="0"/>
    <n v="100"/>
    <n v="500"/>
    <x v="0"/>
    <n v="160"/>
    <n v="800"/>
  </r>
  <r>
    <n v="95"/>
    <s v="Tokyo"/>
    <s v="Japan"/>
    <x v="1"/>
    <x v="82"/>
    <n v="9"/>
    <x v="1"/>
    <x v="1"/>
    <x v="1"/>
    <s v="Canada"/>
    <x v="3"/>
    <n v="44.444444444444443"/>
    <n v="400"/>
    <x v="1"/>
    <n v="22.222222222222221"/>
    <n v="200"/>
  </r>
  <r>
    <n v="96"/>
    <s v="Sydney"/>
    <s v="Australia"/>
    <x v="3"/>
    <x v="83"/>
    <n v="9"/>
    <x v="2"/>
    <x v="2"/>
    <x v="0"/>
    <s v="South Korea"/>
    <x v="4"/>
    <n v="22.222222222222221"/>
    <n v="200"/>
    <x v="0"/>
    <n v="133.33333333333334"/>
    <n v="1200"/>
  </r>
  <r>
    <n v="97"/>
    <s v="London"/>
    <s v="UK"/>
    <x v="0"/>
    <x v="32"/>
    <n v="5"/>
    <x v="19"/>
    <x v="0"/>
    <x v="1"/>
    <s v="UK"/>
    <x v="0"/>
    <n v="120"/>
    <n v="600"/>
    <x v="0"/>
    <n v="140"/>
    <n v="700"/>
  </r>
  <r>
    <n v="98"/>
    <s v="New York"/>
    <s v="USA"/>
    <x v="2"/>
    <x v="84"/>
    <n v="6"/>
    <x v="27"/>
    <x v="2"/>
    <x v="0"/>
    <s v="China"/>
    <x v="3"/>
    <n v="133.33333333333334"/>
    <n v="800"/>
    <x v="3"/>
    <n v="50"/>
    <n v="300"/>
  </r>
  <r>
    <n v="99"/>
    <s v="Rome"/>
    <s v="Italy"/>
    <x v="0"/>
    <x v="85"/>
    <n v="7"/>
    <x v="8"/>
    <x v="0"/>
    <x v="1"/>
    <s v="Taiwan"/>
    <x v="0"/>
    <n v="100"/>
    <n v="700"/>
    <x v="0"/>
    <n v="128.57142857142858"/>
    <n v="900"/>
  </r>
  <r>
    <n v="100"/>
    <s v="Bangkok"/>
    <s v="Thailand"/>
    <x v="1"/>
    <x v="67"/>
    <n v="8"/>
    <x v="5"/>
    <x v="0"/>
    <x v="0"/>
    <s v="Japan"/>
    <x v="4"/>
    <n v="37.5"/>
    <n v="300"/>
    <x v="1"/>
    <n v="12.5"/>
    <n v="100"/>
  </r>
  <r>
    <n v="101"/>
    <s v="Cape Town"/>
    <s v="South Africa"/>
    <x v="5"/>
    <x v="86"/>
    <n v="8"/>
    <x v="10"/>
    <x v="1"/>
    <x v="1"/>
    <s v="Spain"/>
    <x v="3"/>
    <n v="62.5"/>
    <n v="500"/>
    <x v="0"/>
    <n v="187.5"/>
    <n v="1500"/>
  </r>
  <r>
    <n v="102"/>
    <s v="Rio de Janeiro"/>
    <s v="Brazil"/>
    <x v="4"/>
    <x v="87"/>
    <n v="7"/>
    <x v="6"/>
    <x v="0"/>
    <x v="0"/>
    <s v="Brazil"/>
    <x v="0"/>
    <n v="128.57142857142858"/>
    <n v="900"/>
    <x v="3"/>
    <n v="57.142857142857146"/>
    <n v="400"/>
  </r>
  <r>
    <n v="103"/>
    <s v="Bali"/>
    <s v="Indonesia"/>
    <x v="1"/>
    <x v="88"/>
    <n v="6"/>
    <x v="3"/>
    <x v="1"/>
    <x v="1"/>
    <s v="South Korea"/>
    <x v="2"/>
    <n v="200"/>
    <n v="1200"/>
    <x v="0"/>
    <n v="166.66666666666666"/>
    <n v="1000"/>
  </r>
  <r>
    <n v="104"/>
    <s v="Amsterdam"/>
    <s v="Netherlands"/>
    <x v="0"/>
    <x v="89"/>
    <n v="7"/>
    <x v="22"/>
    <x v="0"/>
    <x v="0"/>
    <s v="Germany"/>
    <x v="0"/>
    <n v="85.714285714285708"/>
    <n v="600"/>
    <x v="1"/>
    <n v="21.428571428571427"/>
    <n v="150"/>
  </r>
  <r>
    <n v="105"/>
    <s v="Paris"/>
    <s v="France"/>
    <x v="0"/>
    <x v="90"/>
    <n v="5"/>
    <x v="0"/>
    <x v="0"/>
    <x v="0"/>
    <s v="USA"/>
    <x v="0"/>
    <n v="200"/>
    <n v="1000"/>
    <x v="0"/>
    <n v="160"/>
    <n v="800"/>
  </r>
  <r>
    <n v="106"/>
    <s v="Tokyo"/>
    <s v="Japan"/>
    <x v="1"/>
    <x v="82"/>
    <n v="9"/>
    <x v="1"/>
    <x v="1"/>
    <x v="1"/>
    <s v="South Korea"/>
    <x v="3"/>
    <n v="88.888888888888886"/>
    <n v="800"/>
    <x v="1"/>
    <n v="55.555555555555557"/>
    <n v="500"/>
  </r>
  <r>
    <n v="107"/>
    <s v="New York"/>
    <s v="USA"/>
    <x v="2"/>
    <x v="91"/>
    <n v="5"/>
    <x v="5"/>
    <x v="0"/>
    <x v="0"/>
    <s v="Hong Kong"/>
    <x v="0"/>
    <n v="240"/>
    <n v="1200"/>
    <x v="3"/>
    <n v="40"/>
    <n v="200"/>
  </r>
  <r>
    <n v="108"/>
    <s v="Bali"/>
    <s v="Indonesia"/>
    <x v="1"/>
    <x v="92"/>
    <n v="8"/>
    <x v="14"/>
    <x v="0"/>
    <x v="1"/>
    <s v="Taiwan"/>
    <x v="1"/>
    <n v="187.5"/>
    <n v="1500"/>
    <x v="0"/>
    <n v="150"/>
    <n v="1200"/>
  </r>
  <r>
    <n v="109"/>
    <s v="Sydney"/>
    <s v="Australia"/>
    <x v="3"/>
    <x v="93"/>
    <n v="9"/>
    <x v="4"/>
    <x v="1"/>
    <x v="0"/>
    <s v="Canada"/>
    <x v="4"/>
    <n v="33.333333333333336"/>
    <n v="300"/>
    <x v="0"/>
    <n v="100"/>
    <n v="900"/>
  </r>
  <r>
    <n v="110"/>
    <s v="London"/>
    <s v="UK"/>
    <x v="0"/>
    <x v="94"/>
    <n v="5"/>
    <x v="20"/>
    <x v="0"/>
    <x v="1"/>
    <s v="United Kingdom"/>
    <x v="0"/>
    <n v="180"/>
    <n v="900"/>
    <x v="1"/>
    <n v="30"/>
    <n v="150"/>
  </r>
  <r>
    <n v="111"/>
    <s v="Phuket"/>
    <s v="Thailand"/>
    <x v="1"/>
    <x v="28"/>
    <n v="7"/>
    <x v="2"/>
    <x v="2"/>
    <x v="0"/>
    <s v="Singapore"/>
    <x v="2"/>
    <n v="285.71428571428572"/>
    <n v="2000"/>
    <x v="0"/>
    <n v="100"/>
    <n v="700"/>
  </r>
  <r>
    <n v="112"/>
    <s v="Rome"/>
    <s v="Italy"/>
    <x v="0"/>
    <x v="81"/>
    <n v="7"/>
    <x v="8"/>
    <x v="0"/>
    <x v="1"/>
    <s v="Italy"/>
    <x v="0"/>
    <n v="157.14285714285714"/>
    <n v="1100"/>
    <x v="1"/>
    <n v="35.714285714285715"/>
    <n v="250"/>
  </r>
  <r>
    <n v="113"/>
    <s v="Santorini"/>
    <s v="Greece"/>
    <x v="0"/>
    <x v="95"/>
    <n v="7"/>
    <x v="10"/>
    <x v="1"/>
    <x v="0"/>
    <s v="Greece"/>
    <x v="3"/>
    <n v="142.85714285714286"/>
    <n v="1000"/>
    <x v="4"/>
    <n v="21.428571428571427"/>
    <n v="150"/>
  </r>
  <r>
    <n v="114"/>
    <s v="Dubai"/>
    <s v="United Arab Emirates"/>
    <x v="1"/>
    <x v="96"/>
    <n v="5"/>
    <x v="3"/>
    <x v="1"/>
    <x v="1"/>
    <s v="United Arab Emirates"/>
    <x v="0"/>
    <n v="300"/>
    <n v="1500"/>
    <x v="3"/>
    <n v="60"/>
    <n v="300"/>
  </r>
  <r>
    <n v="115"/>
    <s v="Phnom Penh"/>
    <s v="Thailand"/>
    <x v="1"/>
    <x v="97"/>
    <n v="5"/>
    <x v="6"/>
    <x v="0"/>
    <x v="0"/>
    <s v="Cambodia"/>
    <x v="4"/>
    <n v="40"/>
    <n v="200"/>
    <x v="0"/>
    <n v="100"/>
    <n v="500"/>
  </r>
  <r>
    <n v="116"/>
    <s v="Tokyo"/>
    <s v="Japan"/>
    <x v="1"/>
    <x v="98"/>
    <n v="9"/>
    <x v="13"/>
    <x v="0"/>
    <x v="1"/>
    <s v="American"/>
    <x v="0"/>
    <n v="111.11111111111111"/>
    <n v="1000"/>
    <x v="0"/>
    <n v="77.777777777777771"/>
    <n v="700"/>
  </r>
  <r>
    <n v="117"/>
    <s v="Paris"/>
    <s v="France"/>
    <x v="0"/>
    <x v="99"/>
    <n v="7"/>
    <x v="28"/>
    <x v="2"/>
    <x v="0"/>
    <s v="Canadian"/>
    <x v="0"/>
    <n v="171.42857142857142"/>
    <n v="1200"/>
    <x v="1"/>
    <n v="71.428571428571431"/>
    <n v="500"/>
  </r>
  <r>
    <n v="118"/>
    <s v="Sydney"/>
    <s v="Australia"/>
    <x v="3"/>
    <x v="81"/>
    <n v="11"/>
    <x v="4"/>
    <x v="1"/>
    <x v="1"/>
    <s v="Chinese"/>
    <x v="3"/>
    <n v="72.727272727272734"/>
    <n v="800"/>
    <x v="0"/>
    <n v="90.909090909090907"/>
    <n v="1000"/>
  </r>
  <r>
    <n v="119"/>
    <s v="Rome"/>
    <s v="Italy"/>
    <x v="0"/>
    <x v="94"/>
    <n v="7"/>
    <x v="20"/>
    <x v="0"/>
    <x v="0"/>
    <s v="Korean"/>
    <x v="0"/>
    <n v="128.57142857142858"/>
    <n v="900"/>
    <x v="1"/>
    <n v="57.142857142857146"/>
    <n v="400"/>
  </r>
  <r>
    <n v="120"/>
    <s v="Bali"/>
    <s v="Indonesia"/>
    <x v="1"/>
    <x v="100"/>
    <n v="10"/>
    <x v="3"/>
    <x v="1"/>
    <x v="1"/>
    <s v="Korean"/>
    <x v="4"/>
    <n v="50"/>
    <n v="500"/>
    <x v="0"/>
    <n v="80"/>
    <n v="800"/>
  </r>
  <r>
    <n v="121"/>
    <s v="Cancun"/>
    <s v="Mexico"/>
    <x v="2"/>
    <x v="101"/>
    <n v="8"/>
    <x v="22"/>
    <x v="0"/>
    <x v="0"/>
    <s v="American"/>
    <x v="0"/>
    <n v="162.5"/>
    <n v="1300"/>
    <x v="0"/>
    <n v="75"/>
    <n v="600"/>
  </r>
  <r>
    <n v="122"/>
    <s v="Athens"/>
    <s v="Greece"/>
    <x v="0"/>
    <x v="102"/>
    <n v="10"/>
    <x v="0"/>
    <x v="0"/>
    <x v="1"/>
    <s v="Korean"/>
    <x v="3"/>
    <n v="70"/>
    <n v="700"/>
    <x v="0"/>
    <n v="90"/>
    <n v="900"/>
  </r>
  <r>
    <n v="123"/>
    <s v="Tokyo"/>
    <s v="Japan"/>
    <x v="1"/>
    <x v="103"/>
    <n v="8"/>
    <x v="16"/>
    <x v="1"/>
    <x v="0"/>
    <s v="Korean"/>
    <x v="0"/>
    <n v="150"/>
    <n v="1200"/>
    <x v="0"/>
    <n v="87.5"/>
    <n v="700"/>
  </r>
  <r>
    <n v="124"/>
    <s v="Sydney"/>
    <s v="Australia"/>
    <x v="3"/>
    <x v="104"/>
    <n v="10"/>
    <x v="14"/>
    <x v="0"/>
    <x v="1"/>
    <s v="Chinese"/>
    <x v="3"/>
    <n v="90"/>
    <n v="900"/>
    <x v="0"/>
    <n v="100"/>
    <n v="1000"/>
  </r>
  <r>
    <n v="125"/>
    <s v="Paris"/>
    <s v="France"/>
    <x v="0"/>
    <x v="105"/>
    <n v="8"/>
    <x v="1"/>
    <x v="1"/>
    <x v="0"/>
    <s v="American"/>
    <x v="4"/>
    <n v="50"/>
    <n v="400"/>
    <x v="0"/>
    <n v="87.5"/>
    <n v="700"/>
  </r>
  <r>
    <n v="126"/>
    <s v="Bali"/>
    <s v="Indonesia"/>
    <x v="1"/>
    <x v="106"/>
    <n v="8"/>
    <x v="6"/>
    <x v="0"/>
    <x v="1"/>
    <s v="Canadian"/>
    <x v="0"/>
    <n v="100"/>
    <n v="800"/>
    <x v="0"/>
    <n v="100"/>
    <n v="800"/>
  </r>
  <r>
    <n v="127"/>
    <s v="Paris"/>
    <s v="France"/>
    <x v="0"/>
    <x v="0"/>
    <n v="6"/>
    <x v="0"/>
    <x v="0"/>
    <x v="0"/>
    <s v="American"/>
    <x v="0"/>
    <n v="833.33333333333337"/>
    <n v="5000"/>
    <x v="0"/>
    <n v="416.66666666666669"/>
    <n v="2500"/>
  </r>
  <r>
    <n v="128"/>
    <s v="Tokyo"/>
    <s v="Japan"/>
    <x v="1"/>
    <x v="107"/>
    <n v="7"/>
    <x v="1"/>
    <x v="1"/>
    <x v="1"/>
    <s v="British"/>
    <x v="3"/>
    <n v="1000"/>
    <n v="7000"/>
    <x v="1"/>
    <n v="214.28571428571428"/>
    <n v="1500"/>
  </r>
  <r>
    <n v="129"/>
    <s v="Cape Town"/>
    <s v="South Africa"/>
    <x v="5"/>
    <x v="108"/>
    <n v="9"/>
    <x v="2"/>
    <x v="2"/>
    <x v="0"/>
    <s v="South African"/>
    <x v="4"/>
    <n v="333.33333333333331"/>
    <n v="3000"/>
    <x v="3"/>
    <n v="222.22222222222223"/>
    <n v="2000"/>
  </r>
  <r>
    <n v="130"/>
    <s v="Sydney"/>
    <s v="Australia"/>
    <x v="3"/>
    <x v="1"/>
    <n v="6"/>
    <x v="8"/>
    <x v="0"/>
    <x v="1"/>
    <s v="Australian"/>
    <x v="0"/>
    <n v="1000"/>
    <n v="6000"/>
    <x v="0"/>
    <n v="500"/>
    <n v="3000"/>
  </r>
  <r>
    <n v="131"/>
    <s v="Rome"/>
    <s v="Italy"/>
    <x v="0"/>
    <x v="2"/>
    <n v="7"/>
    <x v="5"/>
    <x v="0"/>
    <x v="0"/>
    <s v="Korean"/>
    <x v="3"/>
    <n v="571.42857142857144"/>
    <n v="4000"/>
    <x v="1"/>
    <n v="214.28571428571428"/>
    <n v="1500"/>
  </r>
  <r>
    <n v="132"/>
    <s v="New York"/>
    <s v="USA"/>
    <x v="2"/>
    <x v="109"/>
    <n v="7"/>
    <x v="10"/>
    <x v="1"/>
    <x v="1"/>
    <s v="American"/>
    <x v="0"/>
    <n v="1142.8571428571429"/>
    <n v="8000"/>
    <x v="0"/>
    <n v="357.14285714285717"/>
    <n v="2500"/>
  </r>
  <r>
    <n v="133"/>
    <s v="Rio de Janeiro"/>
    <s v="Brazil"/>
    <x v="4"/>
    <x v="22"/>
    <n v="9"/>
    <x v="19"/>
    <x v="0"/>
    <x v="0"/>
    <s v="Brazilian"/>
    <x v="4"/>
    <n v="277.77777777777777"/>
    <n v="2500"/>
    <x v="3"/>
    <n v="222.22222222222223"/>
    <n v="2000"/>
  </r>
  <r>
    <n v="134"/>
    <s v="Vancouver"/>
    <s v="Canada"/>
    <x v="2"/>
    <x v="3"/>
    <n v="6"/>
    <x v="3"/>
    <x v="1"/>
    <x v="1"/>
    <s v="Canadian"/>
    <x v="0"/>
    <n v="833.33333333333337"/>
    <n v="5000"/>
    <x v="0"/>
    <n v="500"/>
    <n v="3000"/>
  </r>
  <r>
    <n v="135"/>
    <s v="Bangkok"/>
    <s v="Thailand"/>
    <x v="1"/>
    <x v="16"/>
    <n v="7"/>
    <x v="17"/>
    <x v="0"/>
    <x v="0"/>
    <s v="Chinese"/>
    <x v="4"/>
    <n v="285.71428571428572"/>
    <n v="2000"/>
    <x v="1"/>
    <n v="142.85714285714286"/>
    <n v="1000"/>
  </r>
  <r>
    <n v="136"/>
    <s v="Barcelona"/>
    <s v="Spain"/>
    <x v="0"/>
    <x v="20"/>
    <n v="7"/>
    <x v="7"/>
    <x v="1"/>
    <x v="1"/>
    <s v="Spanish"/>
    <x v="3"/>
    <n v="857.14285714285711"/>
    <n v="6000"/>
    <x v="0"/>
    <n v="357.14285714285717"/>
    <n v="2500"/>
  </r>
  <r>
    <n v="137"/>
    <s v="Auckland"/>
    <s v="New Zealand"/>
    <x v="3"/>
    <x v="110"/>
    <n v="7"/>
    <x v="9"/>
    <x v="0"/>
    <x v="0"/>
    <s v="New Zealander"/>
    <x v="0"/>
    <n v="1000"/>
    <n v="7000"/>
    <x v="1"/>
    <n v="357.14285714285717"/>
    <n v="25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65A591-1C10-4FC4-9BB4-2354D7D24D31}" name="PivotTable18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 rowHeaderCaption="Gender by Age" colHeaderCaption="Count of Travellers by Continents">
  <location ref="F5:M14" firstHeaderRow="1" firstDataRow="2" firstDataCol="1"/>
  <pivotFields count="18">
    <pivotField showAll="0"/>
    <pivotField showAll="0"/>
    <pivotField showAll="0"/>
    <pivotField axis="axisCol" dataField="1" showAll="0">
      <items count="8">
        <item x="5"/>
        <item x="1"/>
        <item x="0"/>
        <item x="2"/>
        <item x="3"/>
        <item x="4"/>
        <item m="1" x="6"/>
        <item t="default"/>
      </items>
    </pivotField>
    <pivotField numFmtId="16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axis="axisRow" showAll="0">
      <items count="7">
        <item m="1" x="4"/>
        <item m="1" x="5"/>
        <item m="1" x="3"/>
        <item x="0"/>
        <item x="1"/>
        <item x="2"/>
        <item t="default"/>
      </items>
    </pivotField>
    <pivotField axis="axisRow" showAll="0">
      <items count="3">
        <item x="1"/>
        <item x="0"/>
        <item t="default"/>
      </items>
    </pivotField>
    <pivotField showAll="0"/>
    <pivotField showAll="0"/>
    <pivotField numFmtId="1" showAll="0"/>
    <pivotField numFmtId="1" showAll="0"/>
    <pivotField showAll="0"/>
    <pivotField numFmtId="1" showAll="0"/>
    <pivotField numFmtId="1"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</pivotFields>
  <rowFields count="2">
    <field x="8"/>
    <field x="7"/>
  </rowFields>
  <rowItems count="8">
    <i>
      <x/>
    </i>
    <i r="1">
      <x v="3"/>
    </i>
    <i r="1">
      <x v="4"/>
    </i>
    <i>
      <x v="1"/>
    </i>
    <i r="1">
      <x v="3"/>
    </i>
    <i r="1">
      <x v="4"/>
    </i>
    <i r="1">
      <x v="5"/>
    </i>
    <i t="grand">
      <x/>
    </i>
  </rowItems>
  <colFields count="1">
    <field x="3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 " fld="3" subtotal="count" baseField="0" baseItem="0"/>
  </dataFields>
  <conditionalFormats count="10">
    <conditionalFormat type="all" priority="10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3" count="6" selected="0">
              <x v="0"/>
              <x v="1"/>
              <x v="2"/>
              <x v="3"/>
              <x v="4"/>
              <x v="5"/>
            </reference>
            <reference field="7" count="1">
              <x v="0"/>
            </reference>
          </references>
        </pivotArea>
      </pivotAreas>
    </conditionalFormat>
    <conditionalFormat type="all" priority="9">
      <pivotAreas count="1">
        <pivotArea type="data" collapsedLevelsAreSubtotals="1" fieldPosition="0">
          <references count="4">
            <reference field="4294967294" count="1" selected="0">
              <x v="0"/>
            </reference>
            <reference field="3" count="6" selected="0">
              <x v="0"/>
              <x v="1"/>
              <x v="2"/>
              <x v="3"/>
              <x v="4"/>
              <x v="5"/>
            </reference>
            <reference field="7" count="1" selected="0">
              <x v="0"/>
            </reference>
            <reference field="8" count="1">
              <x v="0"/>
            </reference>
          </references>
        </pivotArea>
      </pivotAreas>
    </conditionalFormat>
    <conditionalFormat type="all" priority="8">
      <pivotAreas count="1">
        <pivotArea type="data" collapsedLevelsAreSubtotals="1" fieldPosition="0">
          <references count="4">
            <reference field="4294967294" count="1" selected="0">
              <x v="0"/>
            </reference>
            <reference field="3" count="6" selected="0">
              <x v="0"/>
              <x v="1"/>
              <x v="2"/>
              <x v="3"/>
              <x v="4"/>
              <x v="5"/>
            </reference>
            <reference field="7" count="1" selected="0">
              <x v="0"/>
            </reference>
            <reference field="8" count="1">
              <x v="1"/>
            </reference>
          </references>
        </pivotArea>
      </pivotAreas>
    </conditionalFormat>
    <conditionalFormat type="all" priority="7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3" count="6" selected="0">
              <x v="0"/>
              <x v="1"/>
              <x v="2"/>
              <x v="3"/>
              <x v="4"/>
              <x v="5"/>
            </reference>
            <reference field="7" count="1">
              <x v="1"/>
            </reference>
          </references>
        </pivotArea>
      </pivotAreas>
    </conditionalFormat>
    <conditionalFormat type="all" priority="6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3" count="6" selected="0">
              <x v="0"/>
              <x v="1"/>
              <x v="2"/>
              <x v="3"/>
              <x v="4"/>
              <x v="5"/>
            </reference>
            <reference field="7" count="1">
              <x v="2"/>
            </reference>
          </references>
        </pivotArea>
      </pivotAreas>
    </conditionalFormat>
    <conditionalFormat type="all" priority="5">
      <pivotAreas count="1">
        <pivotArea type="data" collapsedLevelsAreSubtotals="1" fieldPosition="0">
          <references count="4">
            <reference field="4294967294" count="1" selected="0">
              <x v="0"/>
            </reference>
            <reference field="3" count="6" selected="0">
              <x v="0"/>
              <x v="1"/>
              <x v="2"/>
              <x v="3"/>
              <x v="4"/>
              <x v="5"/>
            </reference>
            <reference field="7" count="1" selected="0">
              <x v="1"/>
            </reference>
            <reference field="8" count="1">
              <x v="1"/>
            </reference>
          </references>
        </pivotArea>
      </pivotAreas>
    </conditionalFormat>
    <conditionalFormat type="all" priority="4">
      <pivotAreas count="1">
        <pivotArea type="data" collapsedLevelsAreSubtotals="1" fieldPosition="0">
          <references count="4">
            <reference field="4294967294" count="1" selected="0">
              <x v="0"/>
            </reference>
            <reference field="3" count="6" selected="0">
              <x v="0"/>
              <x v="1"/>
              <x v="2"/>
              <x v="3"/>
              <x v="4"/>
              <x v="5"/>
            </reference>
            <reference field="7" count="1" selected="0">
              <x v="2"/>
            </reference>
            <reference field="8" count="1">
              <x v="0"/>
            </reference>
          </references>
        </pivotArea>
      </pivotAreas>
    </conditionalFormat>
    <conditionalFormat type="all" priority="3">
      <pivotAreas count="1">
        <pivotArea type="data" collapsedLevelsAreSubtotals="1" fieldPosition="0">
          <references count="4">
            <reference field="4294967294" count="1" selected="0">
              <x v="0"/>
            </reference>
            <reference field="3" count="6" selected="0">
              <x v="0"/>
              <x v="1"/>
              <x v="2"/>
              <x v="3"/>
              <x v="4"/>
              <x v="5"/>
            </reference>
            <reference field="7" count="1" selected="0">
              <x v="2"/>
            </reference>
            <reference field="8" count="1">
              <x v="1"/>
            </reference>
          </references>
        </pivotArea>
      </pivotAreas>
    </conditionalFormat>
    <conditionalFormat type="all" priority="2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3" count="6" selected="0">
              <x v="0"/>
              <x v="1"/>
              <x v="2"/>
              <x v="3"/>
              <x v="4"/>
              <x v="5"/>
            </reference>
            <reference field="8" count="1">
              <x v="0"/>
            </reference>
          </references>
        </pivotArea>
      </pivotAreas>
    </conditionalFormat>
    <conditionalFormat type="all" priority="1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3" count="6" selected="0">
              <x v="0"/>
              <x v="1"/>
              <x v="2"/>
              <x v="3"/>
              <x v="4"/>
              <x v="5"/>
            </reference>
            <reference field="8" count="1">
              <x v="1"/>
            </reference>
          </references>
        </pivotArea>
      </pivotAreas>
    </conditionalFormat>
  </conditionalFormat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A6F634-EC5C-4DDE-AA57-30904275743D}" name="PivotTable1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 rowHeaderCaption="Gender by Age">
  <location ref="A5:D13" firstHeaderRow="0" firstDataRow="1" firstDataCol="1"/>
  <pivotFields count="18">
    <pivotField showAll="0"/>
    <pivotField showAll="0"/>
    <pivotField showAll="0"/>
    <pivotField showAll="0"/>
    <pivotField numFmtId="16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/>
    <pivotField axis="axisRow" showAll="0">
      <items count="7">
        <item m="1" x="4"/>
        <item m="1" x="5"/>
        <item m="1" x="3"/>
        <item x="0"/>
        <item x="1"/>
        <item x="2"/>
        <item t="default"/>
      </items>
    </pivotField>
    <pivotField axis="axisRow" showAll="0">
      <items count="3">
        <item x="1"/>
        <item x="0"/>
        <item t="default"/>
      </items>
    </pivotField>
    <pivotField showAll="0"/>
    <pivotField showAll="0"/>
    <pivotField numFmtId="1" showAll="0"/>
    <pivotField numFmtId="1" showAll="0"/>
    <pivotField showAll="0"/>
    <pivotField numFmtId="1" showAll="0"/>
    <pivotField numFmtId="1"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</pivotFields>
  <rowFields count="2">
    <field x="8"/>
    <field x="7"/>
  </rowFields>
  <rowItems count="8">
    <i>
      <x/>
    </i>
    <i r="1">
      <x v="3"/>
    </i>
    <i r="1">
      <x v="4"/>
    </i>
    <i>
      <x v="1"/>
    </i>
    <i r="1">
      <x v="3"/>
    </i>
    <i r="1">
      <x v="4"/>
    </i>
    <i r="1">
      <x v="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Duration (days)" fld="5" subtotal="average" baseField="8" baseItem="0" numFmtId="2"/>
    <dataField name="Max Duration (days)" fld="5" subtotal="max" baseField="8" baseItem="0"/>
    <dataField name="Min Duration (days)" fld="5" subtotal="min" baseField="8" baseItem="0"/>
  </dataFields>
  <formats count="1">
    <format dxfId="27">
      <pivotArea outline="0" collapsedLevelsAreSubtotals="1" fieldPosition="0"/>
    </format>
  </formats>
  <chartFormats count="4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">
      <pivotArea type="data" outline="0" fieldPosition="0">
        <references count="3">
          <reference field="4294967294" count="1" selected="0">
            <x v="1"/>
          </reference>
          <reference field="7" count="1" selected="0">
            <x v="2"/>
          </reference>
          <reference field="8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78DC0B-9AA2-4B00-BD93-2E762C32FEB5}" name="PivotTable2" cacheId="0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outline="1" outlineData="1" multipleFieldFilters="0" chartFormat="4" rowHeaderCaption="Gender by Age" colHeaderCaption="Transportation Type">
  <location ref="J5:O14" firstHeaderRow="1" firstDataRow="2" firstDataCol="1"/>
  <pivotFields count="18">
    <pivotField showAll="0"/>
    <pivotField showAll="0"/>
    <pivotField showAll="0"/>
    <pivotField showAll="0"/>
    <pivotField numFmtId="16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axis="axisRow" showAll="0">
      <items count="7">
        <item m="1" x="4"/>
        <item m="1" x="5"/>
        <item m="1" x="3"/>
        <item x="0"/>
        <item x="1"/>
        <item x="2"/>
        <item t="default"/>
      </items>
    </pivotField>
    <pivotField axis="axisRow" showAll="0">
      <items count="3">
        <item x="1"/>
        <item x="0"/>
        <item t="default"/>
      </items>
    </pivotField>
    <pivotField showAll="0"/>
    <pivotField showAll="0"/>
    <pivotField numFmtId="1" showAll="0"/>
    <pivotField numFmtId="1" showAll="0"/>
    <pivotField axis="axisCol" dataField="1" showAll="0">
      <items count="6">
        <item x="0"/>
        <item x="2"/>
        <item x="3"/>
        <item x="4"/>
        <item x="1"/>
        <item t="default"/>
      </items>
    </pivotField>
    <pivotField numFmtId="1" showAll="0"/>
    <pivotField numFmtId="1"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</pivotFields>
  <rowFields count="2">
    <field x="8"/>
    <field x="7"/>
  </rowFields>
  <rowItems count="8">
    <i>
      <x/>
    </i>
    <i r="1">
      <x v="3"/>
    </i>
    <i r="1">
      <x v="4"/>
    </i>
    <i>
      <x v="1"/>
    </i>
    <i r="1">
      <x v="3"/>
    </i>
    <i r="1">
      <x v="4"/>
    </i>
    <i r="1">
      <x v="5"/>
    </i>
    <i t="grand">
      <x/>
    </i>
  </rowItems>
  <colFields count="1">
    <field x="13"/>
  </colFields>
  <colItems count="5">
    <i>
      <x/>
    </i>
    <i>
      <x v="1"/>
    </i>
    <i>
      <x v="2"/>
    </i>
    <i>
      <x v="3"/>
    </i>
    <i>
      <x v="4"/>
    </i>
  </colItems>
  <dataFields count="1">
    <dataField name="Count of Transportation type" fld="13" subtotal="count" baseField="0" baseItem="0"/>
  </dataFields>
  <conditionalFormats count="7">
    <conditionalFormat type="all" priority="7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8" count="1">
              <x v="0"/>
            </reference>
            <reference field="13" count="5" selected="0">
              <x v="0"/>
              <x v="1"/>
              <x v="2"/>
              <x v="3"/>
              <x v="4"/>
            </reference>
          </references>
        </pivotArea>
      </pivotAreas>
    </conditionalFormat>
    <conditionalFormat type="all" priority="6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8" count="1">
              <x v="1"/>
            </reference>
            <reference field="13" count="5" selected="0">
              <x v="0"/>
              <x v="1"/>
              <x v="2"/>
              <x v="3"/>
              <x v="4"/>
            </reference>
          </references>
        </pivotArea>
      </pivotAreas>
    </conditionalFormat>
    <conditionalFormat type="all" priority="5">
      <pivotAreas count="1">
        <pivotArea type="data" collapsedLevelsAreSubtotals="1" fieldPosition="0">
          <references count="4">
            <reference field="4294967294" count="1" selected="0">
              <x v="0"/>
            </reference>
            <reference field="7" count="1">
              <x v="0"/>
            </reference>
            <reference field="8" count="1" selected="0">
              <x v="0"/>
            </reference>
            <reference field="13" count="5" selected="0">
              <x v="0"/>
              <x v="1"/>
              <x v="2"/>
              <x v="3"/>
              <x v="4"/>
            </reference>
          </references>
        </pivotArea>
      </pivotAreas>
    </conditionalFormat>
    <conditionalFormat type="all" priority="4">
      <pivotAreas count="1">
        <pivotArea type="data" collapsedLevelsAreSubtotals="1" fieldPosition="0">
          <references count="4">
            <reference field="4294967294" count="1" selected="0">
              <x v="0"/>
            </reference>
            <reference field="7" count="1">
              <x v="2"/>
            </reference>
            <reference field="8" count="1" selected="0">
              <x v="0"/>
            </reference>
            <reference field="13" count="5" selected="0">
              <x v="0"/>
              <x v="1"/>
              <x v="2"/>
              <x v="3"/>
              <x v="4"/>
            </reference>
          </references>
        </pivotArea>
      </pivotAreas>
    </conditionalFormat>
    <conditionalFormat type="all" priority="3">
      <pivotAreas count="1">
        <pivotArea type="data" collapsedLevelsAreSubtotals="1" fieldPosition="0">
          <references count="4">
            <reference field="4294967294" count="1" selected="0">
              <x v="0"/>
            </reference>
            <reference field="7" count="1">
              <x v="0"/>
            </reference>
            <reference field="8" count="1" selected="0">
              <x v="1"/>
            </reference>
            <reference field="13" count="5" selected="0">
              <x v="0"/>
              <x v="1"/>
              <x v="2"/>
              <x v="3"/>
              <x v="4"/>
            </reference>
          </references>
        </pivotArea>
      </pivotAreas>
    </conditionalFormat>
    <conditionalFormat type="all" priority="2">
      <pivotAreas count="1">
        <pivotArea type="data" collapsedLevelsAreSubtotals="1" fieldPosition="0">
          <references count="4">
            <reference field="4294967294" count="1" selected="0">
              <x v="0"/>
            </reference>
            <reference field="7" count="1">
              <x v="1"/>
            </reference>
            <reference field="8" count="1" selected="0">
              <x v="1"/>
            </reference>
            <reference field="13" count="5" selected="0">
              <x v="0"/>
              <x v="1"/>
              <x v="2"/>
              <x v="3"/>
              <x v="4"/>
            </reference>
          </references>
        </pivotArea>
      </pivotAreas>
    </conditionalFormat>
    <conditionalFormat type="all" priority="1">
      <pivotAreas count="1">
        <pivotArea type="data" collapsedLevelsAreSubtotals="1" fieldPosition="0">
          <references count="4">
            <reference field="4294967294" count="1" selected="0">
              <x v="0"/>
            </reference>
            <reference field="7" count="1">
              <x v="2"/>
            </reference>
            <reference field="8" count="1" selected="0">
              <x v="1"/>
            </reference>
            <reference field="13" count="5" selected="0">
              <x v="0"/>
              <x v="1"/>
              <x v="2"/>
              <x v="3"/>
              <x v="4"/>
            </reference>
          </references>
        </pivotArea>
      </pivotAreas>
    </conditionalFormat>
  </conditionalFormats>
  <chartFormats count="5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3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13C0F5-27F0-43B0-8E88-8C6358F90989}" name="PivotTable1" cacheId="0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outline="1" outlineData="1" multipleFieldFilters="0" chartFormat="5" rowHeaderCaption="Gender by Age" colHeaderCaption="Accomodation type">
  <location ref="A5:H14" firstHeaderRow="1" firstDataRow="2" firstDataCol="1"/>
  <pivotFields count="18">
    <pivotField showAll="0"/>
    <pivotField showAll="0"/>
    <pivotField showAll="0"/>
    <pivotField showAll="0"/>
    <pivotField numFmtId="16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axis="axisRow" showAll="0">
      <items count="7">
        <item m="1" x="4"/>
        <item m="1" x="5"/>
        <item m="1" x="3"/>
        <item x="0"/>
        <item x="1"/>
        <item x="2"/>
        <item t="default"/>
      </items>
    </pivotField>
    <pivotField axis="axisRow" showAll="0">
      <items count="3">
        <item x="1"/>
        <item x="0"/>
        <item t="default"/>
      </items>
    </pivotField>
    <pivotField showAll="0"/>
    <pivotField axis="axisCol" dataField="1" showAll="0">
      <items count="9">
        <item x="3"/>
        <item x="6"/>
        <item x="4"/>
        <item x="0"/>
        <item x="1"/>
        <item x="5"/>
        <item m="1" x="7"/>
        <item x="2"/>
        <item t="default"/>
      </items>
    </pivotField>
    <pivotField numFmtId="1" showAll="0"/>
    <pivotField numFmtId="1" showAll="0"/>
    <pivotField showAll="0"/>
    <pivotField numFmtId="1" showAll="0"/>
    <pivotField numFmtId="1"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</pivotFields>
  <rowFields count="2">
    <field x="8"/>
    <field x="7"/>
  </rowFields>
  <rowItems count="8">
    <i>
      <x/>
    </i>
    <i r="1">
      <x v="3"/>
    </i>
    <i r="1">
      <x v="4"/>
    </i>
    <i>
      <x v="1"/>
    </i>
    <i r="1">
      <x v="3"/>
    </i>
    <i r="1">
      <x v="4"/>
    </i>
    <i r="1">
      <x v="5"/>
    </i>
    <i t="grand">
      <x/>
    </i>
  </rowItems>
  <colFields count="1">
    <field x="10"/>
  </colFields>
  <colItems count="7">
    <i>
      <x/>
    </i>
    <i>
      <x v="1"/>
    </i>
    <i>
      <x v="2"/>
    </i>
    <i>
      <x v="3"/>
    </i>
    <i>
      <x v="4"/>
    </i>
    <i>
      <x v="5"/>
    </i>
    <i>
      <x v="7"/>
    </i>
  </colItems>
  <dataFields count="1">
    <dataField name="Count of Accommodation type" fld="10" subtotal="count" baseField="0" baseItem="0"/>
  </dataFields>
  <conditionalFormats count="7">
    <conditionalFormat type="all" priority="14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8" count="1">
              <x v="0"/>
            </reference>
            <reference field="10" count="8" selected="0">
              <x v="0"/>
              <x v="1"/>
              <x v="2"/>
              <x v="3"/>
              <x v="4"/>
              <x v="5"/>
              <x v="6"/>
              <x v="7"/>
            </reference>
          </references>
        </pivotArea>
      </pivotAreas>
    </conditionalFormat>
    <conditionalFormat type="all" priority="13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8" count="1">
              <x v="1"/>
            </reference>
            <reference field="10" count="8" selected="0">
              <x v="0"/>
              <x v="1"/>
              <x v="2"/>
              <x v="3"/>
              <x v="4"/>
              <x v="5"/>
              <x v="6"/>
              <x v="7"/>
            </reference>
          </references>
        </pivotArea>
      </pivotAreas>
    </conditionalFormat>
    <conditionalFormat type="all" priority="12">
      <pivotAreas count="1">
        <pivotArea type="data" collapsedLevelsAreSubtotals="1" fieldPosition="0">
          <references count="4">
            <reference field="4294967294" count="1" selected="0">
              <x v="0"/>
            </reference>
            <reference field="7" count="1">
              <x v="0"/>
            </reference>
            <reference field="8" count="1" selected="0">
              <x v="0"/>
            </reference>
            <reference field="10" count="8" selected="0">
              <x v="0"/>
              <x v="1"/>
              <x v="2"/>
              <x v="3"/>
              <x v="4"/>
              <x v="5"/>
              <x v="6"/>
              <x v="7"/>
            </reference>
          </references>
        </pivotArea>
      </pivotAreas>
    </conditionalFormat>
    <conditionalFormat type="all" priority="11">
      <pivotAreas count="1">
        <pivotArea type="data" collapsedLevelsAreSubtotals="1" fieldPosition="0">
          <references count="4">
            <reference field="4294967294" count="1" selected="0">
              <x v="0"/>
            </reference>
            <reference field="7" count="1">
              <x v="2"/>
            </reference>
            <reference field="8" count="1" selected="0">
              <x v="0"/>
            </reference>
            <reference field="10" count="8" selected="0">
              <x v="0"/>
              <x v="1"/>
              <x v="2"/>
              <x v="3"/>
              <x v="4"/>
              <x v="5"/>
              <x v="6"/>
              <x v="7"/>
            </reference>
          </references>
        </pivotArea>
      </pivotAreas>
    </conditionalFormat>
    <conditionalFormat type="all" priority="10">
      <pivotAreas count="1">
        <pivotArea type="data" collapsedLevelsAreSubtotals="1" fieldPosition="0">
          <references count="4">
            <reference field="4294967294" count="1" selected="0">
              <x v="0"/>
            </reference>
            <reference field="7" count="3">
              <x v="0"/>
              <x v="1"/>
              <x v="2"/>
            </reference>
            <reference field="8" count="1" selected="0">
              <x v="1"/>
            </reference>
            <reference field="10" count="8" selected="0">
              <x v="0"/>
              <x v="1"/>
              <x v="2"/>
              <x v="3"/>
              <x v="4"/>
              <x v="5"/>
              <x v="6"/>
              <x v="7"/>
            </reference>
          </references>
        </pivotArea>
      </pivotAreas>
    </conditionalFormat>
    <conditionalFormat type="all" priority="9">
      <pivotAreas count="2">
        <pivotArea type="data" collapsedLevelsAreSubtotals="1" fieldPosition="0">
          <references count="4">
            <reference field="4294967294" count="1" selected="0">
              <x v="0"/>
            </reference>
            <reference field="7" count="1">
              <x v="1"/>
            </reference>
            <reference field="8" count="1" selected="0">
              <x v="1"/>
            </reference>
            <reference field="10" count="8" selected="0">
              <x v="0"/>
              <x v="1"/>
              <x v="2"/>
              <x v="3"/>
              <x v="4"/>
              <x v="5"/>
              <x v="6"/>
              <x v="7"/>
            </reference>
          </references>
        </pivotArea>
        <pivotArea type="data" collapsedLevelsAreSubtotals="1" fieldPosition="0">
          <references count="4">
            <reference field="4294967294" count="1" selected="0">
              <x v="0"/>
            </reference>
            <reference field="7" count="1">
              <x v="2"/>
            </reference>
            <reference field="8" count="1" selected="0">
              <x v="1"/>
            </reference>
            <reference field="10" count="8" selected="0">
              <x v="0"/>
              <x v="1"/>
              <x v="2"/>
              <x v="3"/>
              <x v="4"/>
              <x v="5"/>
              <x v="6"/>
              <x v="7"/>
            </reference>
          </references>
        </pivotArea>
      </pivotAreas>
    </conditionalFormat>
    <conditionalFormat type="all" priority="8">
      <pivotAreas count="1">
        <pivotArea type="data" collapsedLevelsAreSubtotals="1" fieldPosition="0">
          <references count="4">
            <reference field="4294967294" count="1" selected="0">
              <x v="0"/>
            </reference>
            <reference field="7" count="1">
              <x v="1"/>
            </reference>
            <reference field="8" count="1" selected="0">
              <x v="1"/>
            </reference>
            <reference field="10" count="8" selected="0">
              <x v="0"/>
              <x v="1"/>
              <x v="2"/>
              <x v="3"/>
              <x v="4"/>
              <x v="5"/>
              <x v="6"/>
              <x v="7"/>
            </reference>
          </references>
        </pivotArea>
      </pivotAreas>
    </conditionalFormat>
  </conditionalFormats>
  <chartFormats count="7"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4" format="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  <chartFormat chart="4" format="3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"/>
          </reference>
        </references>
      </pivotArea>
    </chartFormat>
    <chartFormat chart="4" format="4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4"/>
          </reference>
        </references>
      </pivotArea>
    </chartFormat>
    <chartFormat chart="4" format="5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5"/>
          </reference>
        </references>
      </pivotArea>
    </chartFormat>
    <chartFormat chart="4" format="6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AA95C7-120D-4098-A848-A4B3E0BE98DE}" name="PivotTable3" cacheId="0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chartFormat="1">
  <location ref="A5:C12" firstHeaderRow="0" firstDataRow="1" firstDataCol="1"/>
  <pivotFields count="18">
    <pivotField showAll="0"/>
    <pivotField showAll="0"/>
    <pivotField showAll="0"/>
    <pivotField showAll="0"/>
    <pivotField numFmtId="16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axis="axisRow" showAll="0">
      <items count="7">
        <item m="1" x="4"/>
        <item m="1" x="5"/>
        <item m="1" x="3"/>
        <item x="0"/>
        <item x="1"/>
        <item x="2"/>
        <item t="default"/>
      </items>
    </pivotField>
    <pivotField axis="axisRow" showAll="0">
      <items count="3">
        <item x="1"/>
        <item x="0"/>
        <item t="default"/>
      </items>
    </pivotField>
    <pivotField showAll="0"/>
    <pivotField showAll="0"/>
    <pivotField dataField="1" numFmtId="1" showAll="0"/>
    <pivotField numFmtId="1" showAll="0"/>
    <pivotField showAll="0"/>
    <pivotField dataField="1" numFmtId="1" showAll="0"/>
    <pivotField numFmtId="1"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</pivotFields>
  <rowFields count="2">
    <field x="8"/>
    <field x="7"/>
  </rowFields>
  <rowItems count="7">
    <i>
      <x/>
    </i>
    <i r="1">
      <x v="3"/>
    </i>
    <i r="1">
      <x v="4"/>
    </i>
    <i>
      <x v="1"/>
    </i>
    <i r="1">
      <x v="3"/>
    </i>
    <i r="1">
      <x v="4"/>
    </i>
    <i r="1">
      <x v="5"/>
    </i>
  </rowItems>
  <colFields count="1">
    <field x="-2"/>
  </colFields>
  <colItems count="2">
    <i>
      <x/>
    </i>
    <i i="1">
      <x v="1"/>
    </i>
  </colItems>
  <dataFields count="2">
    <dataField name="Avg Accomodation Cost/Day" fld="11" subtotal="average" baseField="8" baseItem="0"/>
    <dataField name="Avg Transportation Cost/Day" fld="14" subtotal="average" baseField="8" baseItem="0"/>
  </dataFields>
  <formats count="1">
    <format dxfId="26">
      <pivotArea outline="0" collapsedLevelsAreSubtotals="1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850971-B785-44BC-882C-B69EE43EF63A}" name="PivotTable2" cacheId="0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chartFormat="1" rowHeaderCaption="Month" colHeaderCaption="Age Range">
  <location ref="A5:E18" firstHeaderRow="1" firstDataRow="2" firstDataCol="1"/>
  <pivotFields count="18">
    <pivotField showAll="0"/>
    <pivotField showAll="0"/>
    <pivotField showAll="0"/>
    <pivotField showAll="0"/>
    <pivotField axis="axisRow" dataField="1" numFmtId="16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axis="axisCol" showAll="0">
      <items count="7">
        <item x="0"/>
        <item m="1" x="4"/>
        <item x="2"/>
        <item m="1" x="5"/>
        <item x="1"/>
        <item m="1" x="3"/>
        <item t="default"/>
      </items>
    </pivotField>
    <pivotField showAll="0"/>
    <pivotField showAll="0"/>
    <pivotField showAll="0"/>
    <pivotField numFmtId="1" showAll="0"/>
    <pivotField numFmtId="1" showAll="0"/>
    <pivotField showAll="0"/>
    <pivotField numFmtId="1" showAll="0"/>
    <pivotField numFmtId="1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8">
        <item sd="0" x="0"/>
        <item sd="0" x="1"/>
        <item sd="0" x="2"/>
        <item sd="0" x="3"/>
        <item sd="0" x="4"/>
        <item sd="0" x="5"/>
        <item sd="0" x="6"/>
        <item t="default"/>
      </items>
    </pivotField>
  </pivotFields>
  <rowFields count="1">
    <field x="4"/>
  </rowFields>
  <rowItems count="1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</rowItems>
  <colFields count="1">
    <field x="7"/>
  </colFields>
  <colItems count="4">
    <i>
      <x/>
    </i>
    <i>
      <x v="2"/>
    </i>
    <i>
      <x v="4"/>
    </i>
    <i t="grand">
      <x/>
    </i>
  </colItems>
  <dataFields count="1">
    <dataField name="Count of Travel Month" fld="4" subtotal="count" baseField="0" baseItem="0"/>
  </dataFields>
  <conditionalFormats count="2">
    <conditionalFormat type="all" priority="1">
      <pivotAreas count="1">
        <pivotArea type="data" grandCol="1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type="all" priority="2">
      <pivotAreas count="1">
        <pivotArea type="data" grandRow="1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chartFormats count="1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1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2"/>
          </reference>
        </references>
      </pivotArea>
    </chartFormat>
    <chartFormat chart="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8176171-B3DD-4D51-BF43-056BCC94E5FB}" autoFormatId="16" applyNumberFormats="0" applyBorderFormats="0" applyFontFormats="0" applyPatternFormats="0" applyAlignmentFormats="0" applyWidthHeightFormats="0">
  <queryTableRefresh nextId="7">
    <queryTableFields count="6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533B7B6-C5B4-4C8C-B08A-BAB66E81AD0D}" name="Table001__Page_1" displayName="Table001__Page_1" ref="A1:F62" tableType="queryTable" totalsRowShown="0">
  <autoFilter ref="A1:F62" xr:uid="{E533B7B6-C5B4-4C8C-B08A-BAB66E81AD0D}"/>
  <tableColumns count="6">
    <tableColumn id="1" xr3:uid="{396447E5-298F-443F-9040-8D06FB6BCEFA}" uniqueName="1" name="Column1" queryTableFieldId="1" dataDxfId="40"/>
    <tableColumn id="2" xr3:uid="{50F0B1D2-D91C-4A48-ABE0-E9B4EEC33F5A}" uniqueName="2" name="Column2" queryTableFieldId="2" dataDxfId="39"/>
    <tableColumn id="3" xr3:uid="{8CE9CC72-1A12-42DD-B7EB-56389B20831D}" uniqueName="3" name="Column3" queryTableFieldId="3" dataDxfId="38"/>
    <tableColumn id="4" xr3:uid="{18912F24-09BB-4B0D-9FDA-8B38286DAE28}" uniqueName="4" name="Column4" queryTableFieldId="4" dataDxfId="37"/>
    <tableColumn id="5" xr3:uid="{B9C26E45-1702-4292-A72F-BD9477FD3036}" uniqueName="5" name="Column5" queryTableFieldId="5" dataDxfId="36"/>
    <tableColumn id="6" xr3:uid="{CF537855-EC69-4C59-9AF4-C7A2F3E9CE5A}" uniqueName="6" name="Column6" queryTableFieldId="6" dataDxfId="3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B2C431-A2E0-46B6-B60C-C149F7088C56}" name="Table1" displayName="Table1" ref="A1:P138" totalsRowShown="0">
  <autoFilter ref="A1:P138" xr:uid="{4CB2C431-A2E0-46B6-B60C-C149F7088C56}"/>
  <tableColumns count="16">
    <tableColumn id="1" xr3:uid="{73FADBD3-5FBD-4D66-AC00-6117ADC58041}" name="Trip ID"/>
    <tableColumn id="2" xr3:uid="{0DF2A61D-0C0D-44D0-8504-77D45066E7EC}" name="Destination"/>
    <tableColumn id="17" xr3:uid="{679376CA-18B2-4E4E-9907-E726BF99AEB0}" name="Travel Country"/>
    <tableColumn id="24" xr3:uid="{058AE6B0-0889-4392-908A-E087F45A1061}" name="Continent" dataDxfId="34">
      <calculatedColumnFormula array="1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calculatedColumnFormula>
    </tableColumn>
    <tableColumn id="3" xr3:uid="{5E1F96CD-CA4C-4EE2-A1D9-C6837372701D}" name="Travel Month" dataDxfId="33"/>
    <tableColumn id="5" xr3:uid="{C8AD3CD7-6074-4D74-8FDD-E2E677189D44}" name="Duration (days)"/>
    <tableColumn id="6" xr3:uid="{A474D0B1-CB60-41DD-9129-5129766529A3}" name="Age"/>
    <tableColumn id="23" xr3:uid="{36563266-D0AC-49D9-AD3C-DA1B774548EB}" name="Age Range" dataDxfId="32">
      <calculatedColumnFormula array="1">_xlfn.IFS(IF(OR(Table1[[#This Row],[Age]] &gt;= 17), Table1[[#This Row],[Age]] &lt; 30),"Young",IF(OR(Table1[[#This Row],[Age]] &gt;= 30), Table1[[#This Row],[Age]] &lt; 45),"Middle-Aged",Table1[[#This Row],[Age]] &gt;= 45,"Old")</calculatedColumnFormula>
    </tableColumn>
    <tableColumn id="7" xr3:uid="{77ABBFF4-E1C9-41F3-A0FE-DABE5A7FB0BF}" name="Gender"/>
    <tableColumn id="8" xr3:uid="{7813C009-C7C9-4583-88AA-91676A05EAB4}" name="Nationality"/>
    <tableColumn id="9" xr3:uid="{50432B0F-7C39-448A-A991-14D3DA8E32EC}" name="Accommodation type"/>
    <tableColumn id="18" xr3:uid="{02E7C64A-9C20-4D75-9525-DDBEEBE0CF5A}" name="Accomodation Cost/Day" dataDxfId="31"/>
    <tableColumn id="10" xr3:uid="{CA783F00-BC1F-428C-9F94-5BF76F458AB2}" name="Accommodation Cost" dataDxfId="30"/>
    <tableColumn id="11" xr3:uid="{5D66E9C5-76DF-4B94-9C6F-E28BFC9AB935}" name="Transportation type"/>
    <tableColumn id="20" xr3:uid="{46B66494-7AB7-4C81-8C29-0E1DD3749E4B}" name="Transportation Cost/Day" dataDxfId="29"/>
    <tableColumn id="12" xr3:uid="{7A7E6126-E2CF-4786-A84C-7DC97E21EB56}" name="Transportation cost" dataDxfId="28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30206-40DE-4C14-817C-CEE4FBC56352}">
  <sheetPr codeName="Sheet1"/>
  <dimension ref="A1:M140"/>
  <sheetViews>
    <sheetView workbookViewId="0">
      <selection activeCell="R16" sqref="R16"/>
    </sheetView>
  </sheetViews>
  <sheetFormatPr defaultRowHeight="14.4" x14ac:dyDescent="0.3"/>
  <sheetData>
    <row r="1" spans="1:13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3">
      <c r="A2">
        <v>1</v>
      </c>
      <c r="B2" t="s">
        <v>13</v>
      </c>
      <c r="C2" s="1">
        <v>45047</v>
      </c>
      <c r="D2" s="1">
        <v>45054</v>
      </c>
      <c r="E2">
        <v>7</v>
      </c>
      <c r="F2" t="s">
        <v>14</v>
      </c>
      <c r="G2">
        <v>35</v>
      </c>
      <c r="H2" t="s">
        <v>15</v>
      </c>
      <c r="I2" t="s">
        <v>16</v>
      </c>
      <c r="J2" t="s">
        <v>17</v>
      </c>
      <c r="K2">
        <v>1200</v>
      </c>
      <c r="L2" t="s">
        <v>18</v>
      </c>
      <c r="M2">
        <v>600</v>
      </c>
    </row>
    <row r="3" spans="1:13" x14ac:dyDescent="0.3">
      <c r="A3">
        <v>2</v>
      </c>
      <c r="B3" t="s">
        <v>19</v>
      </c>
      <c r="C3" s="1">
        <v>45092</v>
      </c>
      <c r="D3" s="1">
        <v>45097</v>
      </c>
      <c r="E3">
        <v>5</v>
      </c>
      <c r="F3" t="s">
        <v>20</v>
      </c>
      <c r="G3">
        <v>28</v>
      </c>
      <c r="H3" t="s">
        <v>21</v>
      </c>
      <c r="I3" t="s">
        <v>22</v>
      </c>
      <c r="J3" t="s">
        <v>23</v>
      </c>
      <c r="K3">
        <v>800</v>
      </c>
      <c r="L3" t="s">
        <v>18</v>
      </c>
      <c r="M3">
        <v>500</v>
      </c>
    </row>
    <row r="4" spans="1:13" x14ac:dyDescent="0.3">
      <c r="A4">
        <v>3</v>
      </c>
      <c r="B4" t="s">
        <v>24</v>
      </c>
      <c r="C4" s="1">
        <v>45108</v>
      </c>
      <c r="D4" s="1">
        <v>45115</v>
      </c>
      <c r="E4">
        <v>7</v>
      </c>
      <c r="F4" t="s">
        <v>25</v>
      </c>
      <c r="G4">
        <v>45</v>
      </c>
      <c r="H4" t="s">
        <v>15</v>
      </c>
      <c r="I4" t="s">
        <v>26</v>
      </c>
      <c r="J4" t="s">
        <v>27</v>
      </c>
      <c r="K4">
        <v>1000</v>
      </c>
      <c r="L4" t="s">
        <v>18</v>
      </c>
      <c r="M4">
        <v>700</v>
      </c>
    </row>
    <row r="5" spans="1:13" x14ac:dyDescent="0.3">
      <c r="A5">
        <v>4</v>
      </c>
      <c r="B5" t="s">
        <v>28</v>
      </c>
      <c r="C5" s="1">
        <v>45153</v>
      </c>
      <c r="D5" s="1">
        <v>45167</v>
      </c>
      <c r="E5">
        <v>14</v>
      </c>
      <c r="F5" t="s">
        <v>29</v>
      </c>
      <c r="G5">
        <v>29</v>
      </c>
      <c r="H5" t="s">
        <v>21</v>
      </c>
      <c r="I5" t="s">
        <v>30</v>
      </c>
      <c r="J5" t="s">
        <v>17</v>
      </c>
      <c r="K5">
        <v>2000</v>
      </c>
      <c r="L5" t="s">
        <v>18</v>
      </c>
      <c r="M5">
        <v>1000</v>
      </c>
    </row>
    <row r="6" spans="1:13" x14ac:dyDescent="0.3">
      <c r="A6">
        <v>5</v>
      </c>
      <c r="B6" t="s">
        <v>31</v>
      </c>
      <c r="C6" s="1">
        <v>45179</v>
      </c>
      <c r="D6" s="1">
        <v>45186</v>
      </c>
      <c r="E6">
        <v>7</v>
      </c>
      <c r="F6" t="s">
        <v>32</v>
      </c>
      <c r="G6">
        <v>26</v>
      </c>
      <c r="H6" t="s">
        <v>21</v>
      </c>
      <c r="I6" t="s">
        <v>33</v>
      </c>
      <c r="J6" t="s">
        <v>34</v>
      </c>
      <c r="K6">
        <v>700</v>
      </c>
      <c r="L6" t="s">
        <v>35</v>
      </c>
      <c r="M6">
        <v>200</v>
      </c>
    </row>
    <row r="7" spans="1:13" x14ac:dyDescent="0.3">
      <c r="A7">
        <v>6</v>
      </c>
      <c r="B7" t="s">
        <v>36</v>
      </c>
      <c r="C7" s="1">
        <v>45204</v>
      </c>
      <c r="D7" s="1">
        <v>45209</v>
      </c>
      <c r="E7">
        <v>5</v>
      </c>
      <c r="F7" t="s">
        <v>37</v>
      </c>
      <c r="G7">
        <v>42</v>
      </c>
      <c r="H7" t="s">
        <v>15</v>
      </c>
      <c r="I7" t="s">
        <v>16</v>
      </c>
      <c r="J7" t="s">
        <v>17</v>
      </c>
      <c r="K7">
        <v>1500</v>
      </c>
      <c r="L7" t="s">
        <v>18</v>
      </c>
      <c r="M7">
        <v>800</v>
      </c>
    </row>
    <row r="8" spans="1:13" x14ac:dyDescent="0.3">
      <c r="A8">
        <v>7</v>
      </c>
      <c r="B8" t="s">
        <v>38</v>
      </c>
      <c r="C8" s="1">
        <v>45250</v>
      </c>
      <c r="D8" s="1">
        <v>45260</v>
      </c>
      <c r="E8">
        <v>10</v>
      </c>
      <c r="F8" t="s">
        <v>39</v>
      </c>
      <c r="G8">
        <v>33</v>
      </c>
      <c r="H8" t="s">
        <v>21</v>
      </c>
      <c r="I8" t="s">
        <v>40</v>
      </c>
      <c r="J8" t="s">
        <v>41</v>
      </c>
      <c r="K8">
        <v>500</v>
      </c>
      <c r="L8" t="s">
        <v>18</v>
      </c>
      <c r="M8">
        <v>1200</v>
      </c>
    </row>
    <row r="9" spans="1:13" x14ac:dyDescent="0.3">
      <c r="A9">
        <v>8</v>
      </c>
      <c r="B9" t="s">
        <v>42</v>
      </c>
      <c r="C9" s="1">
        <v>45296</v>
      </c>
      <c r="D9" s="1">
        <v>45303</v>
      </c>
      <c r="E9">
        <v>7</v>
      </c>
      <c r="F9" t="s">
        <v>43</v>
      </c>
      <c r="G9">
        <v>25</v>
      </c>
      <c r="H9" t="s">
        <v>15</v>
      </c>
      <c r="I9" t="s">
        <v>44</v>
      </c>
      <c r="J9" t="s">
        <v>34</v>
      </c>
      <c r="K9">
        <v>900</v>
      </c>
      <c r="L9" t="s">
        <v>18</v>
      </c>
      <c r="M9">
        <v>600</v>
      </c>
    </row>
    <row r="10" spans="1:13" x14ac:dyDescent="0.3">
      <c r="A10">
        <v>9</v>
      </c>
      <c r="B10" t="s">
        <v>45</v>
      </c>
      <c r="C10" s="1">
        <v>45336</v>
      </c>
      <c r="D10" s="1">
        <v>45343</v>
      </c>
      <c r="E10">
        <v>7</v>
      </c>
      <c r="F10" t="s">
        <v>46</v>
      </c>
      <c r="G10">
        <v>31</v>
      </c>
      <c r="H10" t="s">
        <v>21</v>
      </c>
      <c r="I10" t="s">
        <v>47</v>
      </c>
      <c r="J10" t="s">
        <v>17</v>
      </c>
      <c r="K10">
        <v>1200</v>
      </c>
      <c r="L10" t="s">
        <v>35</v>
      </c>
      <c r="M10">
        <v>200</v>
      </c>
    </row>
    <row r="11" spans="1:13" x14ac:dyDescent="0.3">
      <c r="A11">
        <v>10</v>
      </c>
      <c r="B11" t="s">
        <v>48</v>
      </c>
      <c r="C11" s="1">
        <v>45361</v>
      </c>
      <c r="D11" s="1">
        <v>45368</v>
      </c>
      <c r="E11">
        <v>7</v>
      </c>
      <c r="F11" t="s">
        <v>49</v>
      </c>
      <c r="G11">
        <v>39</v>
      </c>
      <c r="H11" t="s">
        <v>15</v>
      </c>
      <c r="I11" t="s">
        <v>50</v>
      </c>
      <c r="J11" t="s">
        <v>23</v>
      </c>
      <c r="K11">
        <v>2500</v>
      </c>
      <c r="L11" t="s">
        <v>18</v>
      </c>
      <c r="M11">
        <v>800</v>
      </c>
    </row>
    <row r="12" spans="1:13" x14ac:dyDescent="0.3">
      <c r="A12">
        <v>11</v>
      </c>
      <c r="B12" t="s">
        <v>51</v>
      </c>
      <c r="C12" s="1">
        <v>45383</v>
      </c>
      <c r="D12" s="1">
        <v>45390</v>
      </c>
      <c r="E12">
        <v>7</v>
      </c>
      <c r="F12" t="s">
        <v>52</v>
      </c>
      <c r="G12">
        <v>27</v>
      </c>
      <c r="H12" t="s">
        <v>21</v>
      </c>
      <c r="I12" t="s">
        <v>53</v>
      </c>
      <c r="J12" t="s">
        <v>17</v>
      </c>
      <c r="K12">
        <v>1000</v>
      </c>
      <c r="L12" t="s">
        <v>18</v>
      </c>
      <c r="M12">
        <v>500</v>
      </c>
    </row>
    <row r="13" spans="1:13" x14ac:dyDescent="0.3">
      <c r="A13">
        <v>12</v>
      </c>
      <c r="B13" t="s">
        <v>54</v>
      </c>
      <c r="C13" s="1">
        <v>45427</v>
      </c>
      <c r="D13" s="1">
        <v>45434</v>
      </c>
      <c r="E13">
        <v>7</v>
      </c>
      <c r="F13" t="s">
        <v>55</v>
      </c>
      <c r="G13">
        <v>36</v>
      </c>
      <c r="H13" t="s">
        <v>15</v>
      </c>
      <c r="I13" t="s">
        <v>56</v>
      </c>
      <c r="J13" t="s">
        <v>34</v>
      </c>
      <c r="K13">
        <v>800</v>
      </c>
      <c r="L13" t="s">
        <v>35</v>
      </c>
      <c r="M13">
        <v>100</v>
      </c>
    </row>
    <row r="14" spans="1:13" x14ac:dyDescent="0.3">
      <c r="A14">
        <v>13</v>
      </c>
      <c r="B14" t="s">
        <v>57</v>
      </c>
      <c r="C14" s="1">
        <v>45453</v>
      </c>
      <c r="D14" s="1">
        <v>45461</v>
      </c>
      <c r="E14">
        <v>8</v>
      </c>
      <c r="F14" t="s">
        <v>58</v>
      </c>
      <c r="G14">
        <v>29</v>
      </c>
      <c r="H14" t="s">
        <v>21</v>
      </c>
      <c r="I14" t="s">
        <v>59</v>
      </c>
      <c r="J14" t="s">
        <v>23</v>
      </c>
      <c r="K14">
        <v>3000</v>
      </c>
      <c r="L14" t="s">
        <v>18</v>
      </c>
      <c r="M14">
        <v>1200</v>
      </c>
    </row>
    <row r="15" spans="1:13" x14ac:dyDescent="0.3">
      <c r="A15">
        <v>14</v>
      </c>
      <c r="B15" t="s">
        <v>60</v>
      </c>
      <c r="C15" s="1">
        <v>45474</v>
      </c>
      <c r="D15" s="1">
        <v>45483</v>
      </c>
      <c r="E15">
        <v>9</v>
      </c>
      <c r="F15" t="s">
        <v>61</v>
      </c>
      <c r="G15">
        <v>48</v>
      </c>
      <c r="H15" t="s">
        <v>15</v>
      </c>
      <c r="I15" t="s">
        <v>62</v>
      </c>
      <c r="J15" t="s">
        <v>17</v>
      </c>
      <c r="K15">
        <v>1400</v>
      </c>
      <c r="L15" t="s">
        <v>18</v>
      </c>
      <c r="M15">
        <v>700</v>
      </c>
    </row>
    <row r="16" spans="1:13" x14ac:dyDescent="0.3">
      <c r="A16">
        <v>15</v>
      </c>
      <c r="B16" t="s">
        <v>63</v>
      </c>
      <c r="C16" s="1">
        <v>45524</v>
      </c>
      <c r="D16" s="1">
        <v>45531</v>
      </c>
      <c r="E16">
        <v>7</v>
      </c>
      <c r="F16" t="s">
        <v>64</v>
      </c>
      <c r="G16">
        <v>26</v>
      </c>
      <c r="H16" t="s">
        <v>21</v>
      </c>
      <c r="I16" t="s">
        <v>65</v>
      </c>
      <c r="J16" t="s">
        <v>66</v>
      </c>
      <c r="K16">
        <v>600</v>
      </c>
      <c r="L16" t="s">
        <v>18</v>
      </c>
      <c r="M16">
        <v>400</v>
      </c>
    </row>
    <row r="17" spans="1:13" x14ac:dyDescent="0.3">
      <c r="A17">
        <v>16</v>
      </c>
      <c r="B17" t="s">
        <v>67</v>
      </c>
      <c r="C17" s="1">
        <v>45540</v>
      </c>
      <c r="D17" s="1">
        <v>45547</v>
      </c>
      <c r="E17">
        <v>7</v>
      </c>
      <c r="F17" t="s">
        <v>68</v>
      </c>
      <c r="G17">
        <v>32</v>
      </c>
      <c r="H17" t="s">
        <v>15</v>
      </c>
      <c r="I17" t="s">
        <v>69</v>
      </c>
      <c r="J17" t="s">
        <v>17</v>
      </c>
      <c r="K17">
        <v>900</v>
      </c>
      <c r="L17" t="s">
        <v>35</v>
      </c>
      <c r="M17">
        <v>150</v>
      </c>
    </row>
    <row r="18" spans="1:13" x14ac:dyDescent="0.3">
      <c r="A18">
        <v>17</v>
      </c>
      <c r="B18" t="s">
        <v>70</v>
      </c>
      <c r="C18" s="1">
        <v>45170</v>
      </c>
      <c r="D18" s="1">
        <v>45179</v>
      </c>
      <c r="E18">
        <v>9</v>
      </c>
      <c r="F18" t="s">
        <v>29</v>
      </c>
      <c r="G18">
        <v>30</v>
      </c>
      <c r="H18" t="s">
        <v>21</v>
      </c>
      <c r="I18" t="s">
        <v>16</v>
      </c>
      <c r="J18" t="s">
        <v>17</v>
      </c>
      <c r="K18" s="2">
        <v>900</v>
      </c>
      <c r="L18" t="s">
        <v>71</v>
      </c>
      <c r="M18" s="2">
        <v>400</v>
      </c>
    </row>
    <row r="19" spans="1:13" x14ac:dyDescent="0.3">
      <c r="A19">
        <v>18</v>
      </c>
      <c r="B19" t="s">
        <v>72</v>
      </c>
      <c r="C19" s="1">
        <v>45153</v>
      </c>
      <c r="D19" s="1">
        <v>45163</v>
      </c>
      <c r="E19">
        <v>10</v>
      </c>
      <c r="F19" t="s">
        <v>73</v>
      </c>
      <c r="G19">
        <v>28</v>
      </c>
      <c r="H19" t="s">
        <v>15</v>
      </c>
      <c r="I19" t="s">
        <v>59</v>
      </c>
      <c r="J19" t="s">
        <v>23</v>
      </c>
      <c r="K19" s="2">
        <v>1500</v>
      </c>
      <c r="L19" t="s">
        <v>71</v>
      </c>
      <c r="M19" s="2">
        <v>700</v>
      </c>
    </row>
    <row r="20" spans="1:13" x14ac:dyDescent="0.3">
      <c r="A20">
        <v>19</v>
      </c>
      <c r="B20" t="s">
        <v>74</v>
      </c>
      <c r="C20" s="1">
        <v>45129</v>
      </c>
      <c r="D20" s="1">
        <v>45135</v>
      </c>
      <c r="E20">
        <v>6</v>
      </c>
      <c r="F20" t="s">
        <v>75</v>
      </c>
      <c r="G20">
        <v>35</v>
      </c>
      <c r="H20" t="s">
        <v>21</v>
      </c>
      <c r="I20" t="s">
        <v>30</v>
      </c>
      <c r="J20" t="s">
        <v>17</v>
      </c>
      <c r="K20" s="2">
        <v>1200</v>
      </c>
      <c r="L20" t="s">
        <v>35</v>
      </c>
      <c r="M20" s="2">
        <v>150</v>
      </c>
    </row>
    <row r="21" spans="1:13" x14ac:dyDescent="0.3">
      <c r="A21">
        <v>20</v>
      </c>
      <c r="B21" t="s">
        <v>76</v>
      </c>
      <c r="C21" s="1">
        <v>45204</v>
      </c>
      <c r="D21" s="1">
        <v>45214</v>
      </c>
      <c r="E21">
        <v>10</v>
      </c>
      <c r="F21" t="s">
        <v>77</v>
      </c>
      <c r="G21">
        <v>45</v>
      </c>
      <c r="H21" t="s">
        <v>15</v>
      </c>
      <c r="I21" t="s">
        <v>78</v>
      </c>
      <c r="J21" t="s">
        <v>17</v>
      </c>
      <c r="K21" s="2">
        <v>1200</v>
      </c>
      <c r="L21" t="s">
        <v>71</v>
      </c>
      <c r="M21" s="2">
        <v>800</v>
      </c>
    </row>
    <row r="22" spans="1:13" x14ac:dyDescent="0.3">
      <c r="A22">
        <v>21</v>
      </c>
      <c r="B22" t="s">
        <v>79</v>
      </c>
      <c r="C22" s="1">
        <v>45250</v>
      </c>
      <c r="D22" s="1">
        <v>45255</v>
      </c>
      <c r="E22">
        <v>5</v>
      </c>
      <c r="F22" t="s">
        <v>80</v>
      </c>
      <c r="G22">
        <v>27</v>
      </c>
      <c r="H22" t="s">
        <v>21</v>
      </c>
      <c r="I22" t="s">
        <v>16</v>
      </c>
      <c r="J22" t="s">
        <v>34</v>
      </c>
      <c r="K22" s="2">
        <v>600</v>
      </c>
      <c r="L22" t="s">
        <v>81</v>
      </c>
      <c r="M22" s="2">
        <v>100</v>
      </c>
    </row>
    <row r="23" spans="1:13" x14ac:dyDescent="0.3">
      <c r="A23">
        <v>22</v>
      </c>
      <c r="B23" t="s">
        <v>82</v>
      </c>
      <c r="C23" s="1">
        <v>45265</v>
      </c>
      <c r="D23" s="1">
        <v>45272</v>
      </c>
      <c r="E23">
        <v>7</v>
      </c>
      <c r="F23" t="s">
        <v>83</v>
      </c>
      <c r="G23">
        <v>32</v>
      </c>
      <c r="H23" t="s">
        <v>15</v>
      </c>
      <c r="I23" t="s">
        <v>40</v>
      </c>
      <c r="J23" t="s">
        <v>17</v>
      </c>
      <c r="K23" s="2">
        <v>1000</v>
      </c>
      <c r="L23" t="s">
        <v>71</v>
      </c>
      <c r="M23" s="2">
        <v>600</v>
      </c>
    </row>
    <row r="24" spans="1:13" x14ac:dyDescent="0.3">
      <c r="A24">
        <v>23</v>
      </c>
      <c r="B24" t="s">
        <v>84</v>
      </c>
      <c r="C24" s="1">
        <v>45231</v>
      </c>
      <c r="D24" s="1">
        <v>45238</v>
      </c>
      <c r="E24">
        <v>7</v>
      </c>
      <c r="F24" t="s">
        <v>85</v>
      </c>
      <c r="G24">
        <v>29</v>
      </c>
      <c r="H24" t="s">
        <v>21</v>
      </c>
      <c r="I24" t="s">
        <v>86</v>
      </c>
      <c r="J24" t="s">
        <v>34</v>
      </c>
      <c r="K24" s="2">
        <v>700</v>
      </c>
      <c r="L24" t="s">
        <v>35</v>
      </c>
      <c r="M24" s="2">
        <v>80</v>
      </c>
    </row>
    <row r="25" spans="1:13" x14ac:dyDescent="0.3">
      <c r="A25">
        <v>24</v>
      </c>
      <c r="B25" t="s">
        <v>87</v>
      </c>
      <c r="C25" s="1">
        <v>45184</v>
      </c>
      <c r="D25" s="1">
        <v>45192</v>
      </c>
      <c r="E25">
        <v>8</v>
      </c>
      <c r="F25" t="s">
        <v>88</v>
      </c>
      <c r="G25">
        <v>40</v>
      </c>
      <c r="H25" t="s">
        <v>15</v>
      </c>
      <c r="I25" t="s">
        <v>89</v>
      </c>
      <c r="J25" t="s">
        <v>41</v>
      </c>
      <c r="K25" s="2">
        <v>400</v>
      </c>
      <c r="L25" t="s">
        <v>71</v>
      </c>
      <c r="M25" s="2">
        <v>500</v>
      </c>
    </row>
    <row r="26" spans="1:13" x14ac:dyDescent="0.3">
      <c r="A26">
        <v>25</v>
      </c>
      <c r="B26" t="s">
        <v>70</v>
      </c>
      <c r="C26" s="1">
        <v>45282</v>
      </c>
      <c r="D26" s="1">
        <v>45288</v>
      </c>
      <c r="E26">
        <v>6</v>
      </c>
      <c r="F26" t="s">
        <v>90</v>
      </c>
      <c r="G26">
        <v>24</v>
      </c>
      <c r="H26" t="s">
        <v>21</v>
      </c>
      <c r="I26" t="s">
        <v>33</v>
      </c>
      <c r="J26" t="s">
        <v>17</v>
      </c>
      <c r="K26" s="2">
        <v>1400</v>
      </c>
      <c r="L26" t="s">
        <v>35</v>
      </c>
      <c r="M26" s="2">
        <v>100</v>
      </c>
    </row>
    <row r="27" spans="1:13" x14ac:dyDescent="0.3">
      <c r="A27">
        <v>26</v>
      </c>
      <c r="B27" t="s">
        <v>91</v>
      </c>
      <c r="C27" s="1">
        <v>45139</v>
      </c>
      <c r="D27" s="1">
        <v>45148</v>
      </c>
      <c r="E27">
        <v>9</v>
      </c>
      <c r="F27" t="s">
        <v>92</v>
      </c>
      <c r="G27">
        <v>34</v>
      </c>
      <c r="H27" t="s">
        <v>15</v>
      </c>
      <c r="I27" t="s">
        <v>26</v>
      </c>
      <c r="J27" t="s">
        <v>23</v>
      </c>
      <c r="K27" s="2">
        <v>2000</v>
      </c>
      <c r="L27" t="s">
        <v>71</v>
      </c>
      <c r="M27" s="2">
        <v>800</v>
      </c>
    </row>
    <row r="28" spans="1:13" x14ac:dyDescent="0.3">
      <c r="A28">
        <v>27</v>
      </c>
      <c r="B28" t="s">
        <v>93</v>
      </c>
      <c r="C28" s="1">
        <v>45219</v>
      </c>
      <c r="D28" s="1">
        <v>45227</v>
      </c>
      <c r="E28">
        <v>8</v>
      </c>
      <c r="F28" t="s">
        <v>94</v>
      </c>
      <c r="G28">
        <v>31</v>
      </c>
      <c r="H28" t="s">
        <v>21</v>
      </c>
      <c r="I28" t="s">
        <v>56</v>
      </c>
      <c r="J28" t="s">
        <v>17</v>
      </c>
      <c r="K28" s="2">
        <v>1100</v>
      </c>
      <c r="L28" t="s">
        <v>35</v>
      </c>
      <c r="M28" s="2">
        <v>150</v>
      </c>
    </row>
    <row r="29" spans="1:13" x14ac:dyDescent="0.3">
      <c r="A29">
        <v>28</v>
      </c>
      <c r="B29" t="s">
        <v>95</v>
      </c>
      <c r="C29" s="1">
        <v>44691</v>
      </c>
      <c r="D29" s="1">
        <v>44699</v>
      </c>
      <c r="E29">
        <v>8</v>
      </c>
      <c r="F29" t="s">
        <v>96</v>
      </c>
      <c r="G29">
        <v>30</v>
      </c>
      <c r="H29" t="s">
        <v>21</v>
      </c>
      <c r="I29" t="s">
        <v>16</v>
      </c>
      <c r="J29" t="s">
        <v>17</v>
      </c>
      <c r="K29" s="2">
        <v>800</v>
      </c>
      <c r="L29" t="s">
        <v>71</v>
      </c>
      <c r="M29" s="2">
        <v>500</v>
      </c>
    </row>
    <row r="30" spans="1:13" x14ac:dyDescent="0.3">
      <c r="A30">
        <v>29</v>
      </c>
      <c r="B30" t="s">
        <v>97</v>
      </c>
      <c r="C30" s="1">
        <v>44727</v>
      </c>
      <c r="D30" s="1">
        <v>44734</v>
      </c>
      <c r="E30">
        <v>7</v>
      </c>
      <c r="F30" t="s">
        <v>98</v>
      </c>
      <c r="G30">
        <v>45</v>
      </c>
      <c r="H30" t="s">
        <v>15</v>
      </c>
      <c r="I30" t="s">
        <v>22</v>
      </c>
      <c r="J30" t="s">
        <v>41</v>
      </c>
      <c r="K30" s="2">
        <v>200</v>
      </c>
      <c r="L30" t="s">
        <v>35</v>
      </c>
      <c r="M30" s="2">
        <v>150</v>
      </c>
    </row>
    <row r="31" spans="1:13" x14ac:dyDescent="0.3">
      <c r="A31">
        <v>30</v>
      </c>
      <c r="B31" t="s">
        <v>99</v>
      </c>
      <c r="C31" s="1">
        <v>44744</v>
      </c>
      <c r="D31" s="1">
        <v>44753</v>
      </c>
      <c r="E31">
        <v>9</v>
      </c>
      <c r="F31" t="s">
        <v>100</v>
      </c>
      <c r="G31">
        <v>25</v>
      </c>
      <c r="H31" t="s">
        <v>15</v>
      </c>
      <c r="I31" t="s">
        <v>26</v>
      </c>
      <c r="J31" t="s">
        <v>34</v>
      </c>
      <c r="K31" s="2">
        <v>600</v>
      </c>
      <c r="L31" t="s">
        <v>101</v>
      </c>
      <c r="M31" s="2">
        <v>300</v>
      </c>
    </row>
    <row r="32" spans="1:13" x14ac:dyDescent="0.3">
      <c r="A32">
        <v>31</v>
      </c>
      <c r="B32" t="s">
        <v>102</v>
      </c>
      <c r="C32" s="1">
        <v>44793</v>
      </c>
      <c r="D32" s="1">
        <v>44806</v>
      </c>
      <c r="E32">
        <v>13</v>
      </c>
      <c r="F32" t="s">
        <v>103</v>
      </c>
      <c r="G32">
        <v>28</v>
      </c>
      <c r="H32" t="s">
        <v>21</v>
      </c>
      <c r="I32" t="s">
        <v>30</v>
      </c>
      <c r="J32" t="s">
        <v>17</v>
      </c>
      <c r="K32" s="2">
        <v>1000</v>
      </c>
      <c r="L32" t="s">
        <v>101</v>
      </c>
      <c r="M32" s="2">
        <v>500</v>
      </c>
    </row>
    <row r="33" spans="1:13" x14ac:dyDescent="0.3">
      <c r="A33">
        <v>32</v>
      </c>
      <c r="B33" t="s">
        <v>104</v>
      </c>
      <c r="C33" s="1">
        <v>44809</v>
      </c>
      <c r="D33" s="1">
        <v>44818</v>
      </c>
      <c r="E33">
        <v>9</v>
      </c>
      <c r="F33" t="s">
        <v>105</v>
      </c>
      <c r="G33">
        <v>33</v>
      </c>
      <c r="H33" t="s">
        <v>21</v>
      </c>
      <c r="I33" t="s">
        <v>40</v>
      </c>
      <c r="J33" t="s">
        <v>41</v>
      </c>
      <c r="K33" s="2">
        <v>150</v>
      </c>
      <c r="L33" t="s">
        <v>81</v>
      </c>
      <c r="M33" s="2">
        <v>50</v>
      </c>
    </row>
    <row r="34" spans="1:13" x14ac:dyDescent="0.3">
      <c r="A34">
        <v>33</v>
      </c>
      <c r="B34" t="s">
        <v>106</v>
      </c>
      <c r="C34" s="1">
        <v>44846</v>
      </c>
      <c r="D34" s="1">
        <v>44854</v>
      </c>
      <c r="E34">
        <v>8</v>
      </c>
      <c r="F34" t="s">
        <v>107</v>
      </c>
      <c r="G34">
        <v>20</v>
      </c>
      <c r="H34" t="s">
        <v>15</v>
      </c>
      <c r="I34" t="s">
        <v>16</v>
      </c>
      <c r="J34" t="s">
        <v>34</v>
      </c>
      <c r="K34" s="2">
        <v>400</v>
      </c>
      <c r="L34" t="s">
        <v>71</v>
      </c>
      <c r="M34" s="2">
        <v>600</v>
      </c>
    </row>
    <row r="35" spans="1:13" x14ac:dyDescent="0.3">
      <c r="A35">
        <v>34</v>
      </c>
      <c r="B35" t="s">
        <v>108</v>
      </c>
      <c r="C35" s="1">
        <v>44873</v>
      </c>
      <c r="D35" s="1">
        <v>44880</v>
      </c>
      <c r="E35">
        <v>7</v>
      </c>
      <c r="F35" t="s">
        <v>109</v>
      </c>
      <c r="G35">
        <v>37</v>
      </c>
      <c r="H35" t="s">
        <v>21</v>
      </c>
      <c r="I35" t="s">
        <v>22</v>
      </c>
      <c r="J35" t="s">
        <v>17</v>
      </c>
      <c r="K35" s="2">
        <v>700</v>
      </c>
      <c r="L35" t="s">
        <v>35</v>
      </c>
      <c r="M35" s="2">
        <v>100</v>
      </c>
    </row>
    <row r="36" spans="1:13" x14ac:dyDescent="0.3">
      <c r="A36">
        <v>35</v>
      </c>
      <c r="B36" t="s">
        <v>110</v>
      </c>
      <c r="C36" s="1">
        <v>44931</v>
      </c>
      <c r="D36" s="1">
        <v>44941</v>
      </c>
      <c r="E36">
        <v>10</v>
      </c>
      <c r="F36" t="s">
        <v>111</v>
      </c>
      <c r="G36">
        <v>42</v>
      </c>
      <c r="H36" t="s">
        <v>15</v>
      </c>
      <c r="I36" t="s">
        <v>30</v>
      </c>
      <c r="J36" t="s">
        <v>34</v>
      </c>
      <c r="K36" s="2">
        <v>500</v>
      </c>
      <c r="L36" t="s">
        <v>71</v>
      </c>
      <c r="M36" s="2">
        <v>800</v>
      </c>
    </row>
    <row r="37" spans="1:13" x14ac:dyDescent="0.3">
      <c r="A37">
        <v>36</v>
      </c>
      <c r="B37" t="s">
        <v>112</v>
      </c>
      <c r="C37" s="1">
        <v>44971</v>
      </c>
      <c r="D37" s="1">
        <v>44977</v>
      </c>
      <c r="E37">
        <v>6</v>
      </c>
      <c r="F37" t="s">
        <v>113</v>
      </c>
      <c r="G37">
        <v>31</v>
      </c>
      <c r="H37" t="s">
        <v>21</v>
      </c>
      <c r="I37" t="s">
        <v>16</v>
      </c>
      <c r="J37" t="s">
        <v>41</v>
      </c>
      <c r="K37" s="2">
        <v>180</v>
      </c>
      <c r="L37" t="s">
        <v>35</v>
      </c>
      <c r="M37" s="2">
        <v>120</v>
      </c>
    </row>
    <row r="38" spans="1:13" x14ac:dyDescent="0.3">
      <c r="A38">
        <v>37</v>
      </c>
      <c r="B38" t="s">
        <v>114</v>
      </c>
      <c r="C38" s="1">
        <v>45008</v>
      </c>
      <c r="D38" s="1">
        <v>45016</v>
      </c>
      <c r="E38">
        <v>8</v>
      </c>
      <c r="F38" t="s">
        <v>115</v>
      </c>
      <c r="G38">
        <v>27</v>
      </c>
      <c r="H38" t="s">
        <v>15</v>
      </c>
      <c r="I38" t="s">
        <v>26</v>
      </c>
      <c r="J38" t="s">
        <v>17</v>
      </c>
      <c r="K38" s="2">
        <v>900</v>
      </c>
      <c r="L38" t="s">
        <v>101</v>
      </c>
      <c r="M38" s="2">
        <v>400</v>
      </c>
    </row>
    <row r="39" spans="1:13" x14ac:dyDescent="0.3">
      <c r="A39">
        <v>38</v>
      </c>
      <c r="B39" t="s">
        <v>116</v>
      </c>
      <c r="C39" s="1">
        <v>45035</v>
      </c>
      <c r="D39" s="1">
        <v>45042</v>
      </c>
      <c r="E39">
        <v>7</v>
      </c>
      <c r="F39" t="s">
        <v>117</v>
      </c>
      <c r="G39">
        <v>38</v>
      </c>
      <c r="H39" t="s">
        <v>21</v>
      </c>
      <c r="I39" t="s">
        <v>40</v>
      </c>
      <c r="J39" t="s">
        <v>34</v>
      </c>
      <c r="K39" s="2">
        <v>350</v>
      </c>
      <c r="L39" t="s">
        <v>81</v>
      </c>
      <c r="M39" s="2">
        <v>75</v>
      </c>
    </row>
    <row r="40" spans="1:13" x14ac:dyDescent="0.3">
      <c r="A40">
        <v>39</v>
      </c>
      <c r="B40" t="s">
        <v>36</v>
      </c>
      <c r="C40" s="1">
        <v>44724</v>
      </c>
      <c r="D40" s="1">
        <v>44731</v>
      </c>
      <c r="E40">
        <v>7</v>
      </c>
      <c r="F40" t="s">
        <v>113</v>
      </c>
      <c r="G40">
        <v>25</v>
      </c>
      <c r="H40" t="s">
        <v>21</v>
      </c>
      <c r="I40" t="s">
        <v>16</v>
      </c>
      <c r="J40" t="s">
        <v>17</v>
      </c>
      <c r="K40">
        <v>1400</v>
      </c>
      <c r="L40" t="s">
        <v>71</v>
      </c>
      <c r="M40">
        <v>600</v>
      </c>
    </row>
    <row r="41" spans="1:13" x14ac:dyDescent="0.3">
      <c r="A41">
        <v>40</v>
      </c>
      <c r="B41" t="s">
        <v>38</v>
      </c>
      <c r="C41" s="1">
        <v>44928</v>
      </c>
      <c r="D41" s="1">
        <v>44935</v>
      </c>
      <c r="E41">
        <v>7</v>
      </c>
      <c r="F41" t="s">
        <v>118</v>
      </c>
      <c r="G41">
        <v>33</v>
      </c>
      <c r="H41" t="s">
        <v>15</v>
      </c>
      <c r="I41" t="s">
        <v>22</v>
      </c>
      <c r="J41" t="s">
        <v>34</v>
      </c>
      <c r="K41">
        <v>800</v>
      </c>
      <c r="L41" t="s">
        <v>35</v>
      </c>
      <c r="M41">
        <v>150</v>
      </c>
    </row>
    <row r="42" spans="1:13" x14ac:dyDescent="0.3">
      <c r="A42">
        <v>41</v>
      </c>
      <c r="B42" t="s">
        <v>31</v>
      </c>
      <c r="C42" s="1">
        <v>44905</v>
      </c>
      <c r="D42" s="1">
        <v>44913</v>
      </c>
      <c r="E42">
        <v>8</v>
      </c>
      <c r="F42" t="s">
        <v>119</v>
      </c>
      <c r="G42">
        <v>28</v>
      </c>
      <c r="H42" t="s">
        <v>21</v>
      </c>
      <c r="I42" t="s">
        <v>59</v>
      </c>
      <c r="J42" t="s">
        <v>41</v>
      </c>
      <c r="K42">
        <v>500</v>
      </c>
      <c r="L42" t="s">
        <v>71</v>
      </c>
      <c r="M42">
        <v>900</v>
      </c>
    </row>
    <row r="43" spans="1:13" x14ac:dyDescent="0.3">
      <c r="A43">
        <v>42</v>
      </c>
      <c r="B43" t="s">
        <v>51</v>
      </c>
      <c r="C43" s="1">
        <v>45108</v>
      </c>
      <c r="D43" s="1">
        <v>45115</v>
      </c>
      <c r="E43">
        <v>7</v>
      </c>
      <c r="F43" t="s">
        <v>14</v>
      </c>
      <c r="G43">
        <v>45</v>
      </c>
      <c r="H43" t="s">
        <v>15</v>
      </c>
      <c r="I43" t="s">
        <v>16</v>
      </c>
      <c r="J43" t="s">
        <v>23</v>
      </c>
      <c r="K43">
        <v>2200</v>
      </c>
      <c r="L43" t="s">
        <v>71</v>
      </c>
      <c r="M43">
        <v>800</v>
      </c>
    </row>
    <row r="44" spans="1:13" x14ac:dyDescent="0.3">
      <c r="A44">
        <v>43</v>
      </c>
      <c r="B44" t="s">
        <v>42</v>
      </c>
      <c r="C44" s="1">
        <v>44885</v>
      </c>
      <c r="D44" s="1">
        <v>44892</v>
      </c>
      <c r="E44">
        <v>7</v>
      </c>
      <c r="F44" t="s">
        <v>120</v>
      </c>
      <c r="G44">
        <v>30</v>
      </c>
      <c r="H44" t="s">
        <v>21</v>
      </c>
      <c r="I44" t="s">
        <v>44</v>
      </c>
      <c r="J44" t="s">
        <v>17</v>
      </c>
      <c r="K44">
        <v>1200</v>
      </c>
      <c r="L44" t="s">
        <v>71</v>
      </c>
      <c r="M44">
        <v>700</v>
      </c>
    </row>
    <row r="45" spans="1:13" x14ac:dyDescent="0.3">
      <c r="A45">
        <v>44</v>
      </c>
      <c r="B45" t="s">
        <v>13</v>
      </c>
      <c r="C45" s="1">
        <v>44990</v>
      </c>
      <c r="D45" s="1">
        <v>44997</v>
      </c>
      <c r="E45">
        <v>7</v>
      </c>
      <c r="F45" t="s">
        <v>121</v>
      </c>
      <c r="G45">
        <v>55</v>
      </c>
      <c r="H45" t="s">
        <v>15</v>
      </c>
      <c r="I45" t="s">
        <v>30</v>
      </c>
      <c r="J45" t="s">
        <v>34</v>
      </c>
      <c r="K45">
        <v>900</v>
      </c>
      <c r="L45" t="s">
        <v>35</v>
      </c>
      <c r="M45">
        <v>100</v>
      </c>
    </row>
    <row r="46" spans="1:13" x14ac:dyDescent="0.3">
      <c r="A46">
        <v>45</v>
      </c>
      <c r="B46" t="s">
        <v>54</v>
      </c>
      <c r="C46" s="1">
        <v>45156</v>
      </c>
      <c r="D46" s="1">
        <v>45163</v>
      </c>
      <c r="E46">
        <v>7</v>
      </c>
      <c r="F46" t="s">
        <v>122</v>
      </c>
      <c r="G46">
        <v>27</v>
      </c>
      <c r="H46" t="s">
        <v>21</v>
      </c>
      <c r="I46" t="s">
        <v>56</v>
      </c>
      <c r="J46" t="s">
        <v>41</v>
      </c>
      <c r="K46">
        <v>600</v>
      </c>
      <c r="L46" t="s">
        <v>71</v>
      </c>
      <c r="M46">
        <v>600</v>
      </c>
    </row>
    <row r="47" spans="1:13" x14ac:dyDescent="0.3">
      <c r="A47">
        <v>46</v>
      </c>
      <c r="B47" t="s">
        <v>123</v>
      </c>
      <c r="C47" s="1">
        <v>44819</v>
      </c>
      <c r="D47" s="1">
        <v>44826</v>
      </c>
      <c r="E47">
        <v>7</v>
      </c>
      <c r="F47" t="s">
        <v>124</v>
      </c>
      <c r="G47">
        <v>41</v>
      </c>
      <c r="H47" t="s">
        <v>15</v>
      </c>
      <c r="I47" t="s">
        <v>16</v>
      </c>
      <c r="J47" t="s">
        <v>17</v>
      </c>
      <c r="K47">
        <v>1500</v>
      </c>
      <c r="L47" t="s">
        <v>71</v>
      </c>
      <c r="M47">
        <v>500</v>
      </c>
    </row>
    <row r="48" spans="1:13" x14ac:dyDescent="0.3">
      <c r="A48">
        <v>47</v>
      </c>
      <c r="B48" t="s">
        <v>125</v>
      </c>
      <c r="C48" s="1">
        <v>45047</v>
      </c>
      <c r="D48" s="1">
        <v>45053</v>
      </c>
      <c r="E48">
        <v>6</v>
      </c>
      <c r="F48" t="s">
        <v>126</v>
      </c>
      <c r="G48">
        <v>29</v>
      </c>
      <c r="H48" t="s">
        <v>21</v>
      </c>
      <c r="I48" t="s">
        <v>89</v>
      </c>
      <c r="J48" t="s">
        <v>34</v>
      </c>
      <c r="K48">
        <v>500</v>
      </c>
      <c r="L48" t="s">
        <v>81</v>
      </c>
      <c r="M48">
        <v>50</v>
      </c>
    </row>
    <row r="49" spans="1:13" x14ac:dyDescent="0.3">
      <c r="A49">
        <v>48</v>
      </c>
      <c r="B49" t="s">
        <v>127</v>
      </c>
      <c r="C49" s="1">
        <v>44752</v>
      </c>
      <c r="D49" s="1">
        <v>44759</v>
      </c>
      <c r="E49">
        <v>7</v>
      </c>
      <c r="F49" t="s">
        <v>128</v>
      </c>
      <c r="G49">
        <v>24</v>
      </c>
      <c r="H49" t="s">
        <v>15</v>
      </c>
      <c r="I49" t="s">
        <v>26</v>
      </c>
      <c r="J49" t="s">
        <v>41</v>
      </c>
      <c r="K49">
        <v>400</v>
      </c>
      <c r="L49" t="s">
        <v>35</v>
      </c>
      <c r="M49">
        <v>150</v>
      </c>
    </row>
    <row r="50" spans="1:13" x14ac:dyDescent="0.3">
      <c r="A50">
        <v>49</v>
      </c>
      <c r="B50" t="s">
        <v>45</v>
      </c>
      <c r="C50" s="1">
        <v>45097</v>
      </c>
      <c r="D50" s="1">
        <v>45105</v>
      </c>
      <c r="E50">
        <v>8</v>
      </c>
      <c r="F50" t="s">
        <v>129</v>
      </c>
      <c r="G50">
        <v>31</v>
      </c>
      <c r="H50" t="s">
        <v>21</v>
      </c>
      <c r="I50" t="s">
        <v>47</v>
      </c>
      <c r="J50" t="s">
        <v>17</v>
      </c>
      <c r="K50">
        <v>1100</v>
      </c>
      <c r="L50" t="s">
        <v>71</v>
      </c>
      <c r="M50">
        <v>700</v>
      </c>
    </row>
    <row r="51" spans="1:13" x14ac:dyDescent="0.3">
      <c r="A51">
        <v>50</v>
      </c>
      <c r="B51" t="s">
        <v>36</v>
      </c>
      <c r="C51" s="1">
        <v>45153</v>
      </c>
      <c r="D51" s="1">
        <v>45160</v>
      </c>
      <c r="E51">
        <v>7</v>
      </c>
      <c r="F51" t="s">
        <v>130</v>
      </c>
      <c r="G51">
        <v>31</v>
      </c>
      <c r="H51" t="s">
        <v>21</v>
      </c>
      <c r="I51" t="s">
        <v>22</v>
      </c>
      <c r="J51" t="s">
        <v>17</v>
      </c>
      <c r="K51" s="2">
        <v>1200</v>
      </c>
      <c r="L51" t="s">
        <v>35</v>
      </c>
      <c r="M51" s="2">
        <v>300</v>
      </c>
    </row>
    <row r="52" spans="1:13" x14ac:dyDescent="0.3">
      <c r="A52">
        <v>51</v>
      </c>
      <c r="B52" t="s">
        <v>31</v>
      </c>
      <c r="C52" s="1">
        <v>45209</v>
      </c>
      <c r="D52" s="1">
        <v>45219</v>
      </c>
      <c r="E52">
        <v>10</v>
      </c>
      <c r="F52" t="s">
        <v>92</v>
      </c>
      <c r="G52">
        <v>25</v>
      </c>
      <c r="H52" t="s">
        <v>15</v>
      </c>
      <c r="I52" t="s">
        <v>16</v>
      </c>
      <c r="J52" t="s">
        <v>41</v>
      </c>
      <c r="K52" s="2">
        <v>500</v>
      </c>
      <c r="L52" t="s">
        <v>81</v>
      </c>
      <c r="M52" s="2">
        <v>100</v>
      </c>
    </row>
    <row r="53" spans="1:13" x14ac:dyDescent="0.3">
      <c r="A53">
        <v>52</v>
      </c>
      <c r="B53" t="s">
        <v>131</v>
      </c>
      <c r="C53" s="1">
        <v>45235</v>
      </c>
      <c r="D53" s="1">
        <v>45242</v>
      </c>
      <c r="E53">
        <v>7</v>
      </c>
      <c r="F53" t="s">
        <v>132</v>
      </c>
      <c r="G53">
        <v>27</v>
      </c>
      <c r="H53" t="s">
        <v>21</v>
      </c>
      <c r="I53" t="s">
        <v>133</v>
      </c>
      <c r="J53" t="s">
        <v>34</v>
      </c>
      <c r="K53" s="2">
        <v>900</v>
      </c>
      <c r="L53" t="s">
        <v>101</v>
      </c>
      <c r="M53" s="2">
        <v>200</v>
      </c>
    </row>
    <row r="54" spans="1:13" x14ac:dyDescent="0.3">
      <c r="A54">
        <v>53</v>
      </c>
      <c r="B54" t="s">
        <v>28</v>
      </c>
      <c r="C54" s="1">
        <v>45284</v>
      </c>
      <c r="D54" s="1">
        <v>45291</v>
      </c>
      <c r="E54">
        <v>7</v>
      </c>
      <c r="F54" t="s">
        <v>134</v>
      </c>
      <c r="G54">
        <v>28</v>
      </c>
      <c r="H54" t="s">
        <v>21</v>
      </c>
      <c r="I54" t="s">
        <v>22</v>
      </c>
      <c r="J54" t="s">
        <v>17</v>
      </c>
      <c r="K54" s="2">
        <v>1400</v>
      </c>
      <c r="L54" t="s">
        <v>18</v>
      </c>
      <c r="M54" s="2">
        <v>800</v>
      </c>
    </row>
    <row r="55" spans="1:13" x14ac:dyDescent="0.3">
      <c r="A55">
        <v>54</v>
      </c>
      <c r="B55" t="s">
        <v>42</v>
      </c>
      <c r="C55" s="1">
        <v>45306</v>
      </c>
      <c r="D55" s="1">
        <v>45315</v>
      </c>
      <c r="E55">
        <v>9</v>
      </c>
      <c r="F55" t="s">
        <v>135</v>
      </c>
      <c r="G55">
        <v>30</v>
      </c>
      <c r="H55" t="s">
        <v>15</v>
      </c>
      <c r="I55" t="s">
        <v>44</v>
      </c>
      <c r="J55" t="s">
        <v>34</v>
      </c>
      <c r="K55" s="2">
        <v>800</v>
      </c>
      <c r="L55" t="s">
        <v>35</v>
      </c>
      <c r="M55" s="2">
        <v>150</v>
      </c>
    </row>
    <row r="56" spans="1:13" x14ac:dyDescent="0.3">
      <c r="A56">
        <v>55</v>
      </c>
      <c r="B56" t="s">
        <v>125</v>
      </c>
      <c r="C56" s="1">
        <v>45323</v>
      </c>
      <c r="D56" s="1">
        <v>45331</v>
      </c>
      <c r="E56">
        <v>8</v>
      </c>
      <c r="F56" t="s">
        <v>136</v>
      </c>
      <c r="G56">
        <v>23</v>
      </c>
      <c r="H56" t="s">
        <v>21</v>
      </c>
      <c r="I56" t="s">
        <v>89</v>
      </c>
      <c r="J56" t="s">
        <v>41</v>
      </c>
      <c r="K56" s="2">
        <v>400</v>
      </c>
      <c r="L56" t="s">
        <v>81</v>
      </c>
      <c r="M56" s="2">
        <v>50</v>
      </c>
    </row>
    <row r="57" spans="1:13" x14ac:dyDescent="0.3">
      <c r="A57">
        <v>56</v>
      </c>
      <c r="B57" t="s">
        <v>13</v>
      </c>
      <c r="C57" s="1">
        <v>45366</v>
      </c>
      <c r="D57" s="1">
        <v>45374</v>
      </c>
      <c r="E57">
        <v>8</v>
      </c>
      <c r="F57" t="s">
        <v>137</v>
      </c>
      <c r="G57">
        <v>35</v>
      </c>
      <c r="H57" t="s">
        <v>15</v>
      </c>
      <c r="I57" t="s">
        <v>30</v>
      </c>
      <c r="J57" t="s">
        <v>17</v>
      </c>
      <c r="K57" s="2">
        <v>1000</v>
      </c>
      <c r="L57" t="s">
        <v>35</v>
      </c>
      <c r="M57" s="2">
        <v>200</v>
      </c>
    </row>
    <row r="58" spans="1:13" x14ac:dyDescent="0.3">
      <c r="A58">
        <v>57</v>
      </c>
      <c r="B58" t="s">
        <v>54</v>
      </c>
      <c r="C58" s="1">
        <v>45387</v>
      </c>
      <c r="D58" s="1">
        <v>45395</v>
      </c>
      <c r="E58">
        <v>8</v>
      </c>
      <c r="F58" t="s">
        <v>138</v>
      </c>
      <c r="G58">
        <v>29</v>
      </c>
      <c r="H58" t="s">
        <v>21</v>
      </c>
      <c r="I58" t="s">
        <v>56</v>
      </c>
      <c r="J58" t="s">
        <v>34</v>
      </c>
      <c r="K58" s="2">
        <v>700</v>
      </c>
      <c r="L58" t="s">
        <v>101</v>
      </c>
      <c r="M58" s="2">
        <v>250</v>
      </c>
    </row>
    <row r="59" spans="1:13" x14ac:dyDescent="0.3">
      <c r="A59">
        <v>58</v>
      </c>
      <c r="B59" t="s">
        <v>139</v>
      </c>
      <c r="C59" s="1">
        <v>45422</v>
      </c>
      <c r="D59" s="1">
        <v>45430</v>
      </c>
      <c r="E59">
        <v>8</v>
      </c>
      <c r="F59" t="s">
        <v>140</v>
      </c>
      <c r="G59">
        <v>27</v>
      </c>
      <c r="H59" t="s">
        <v>15</v>
      </c>
      <c r="I59" t="s">
        <v>133</v>
      </c>
      <c r="J59" t="s">
        <v>41</v>
      </c>
      <c r="K59" s="2">
        <v>500</v>
      </c>
      <c r="L59" t="s">
        <v>141</v>
      </c>
      <c r="M59" s="2">
        <v>20</v>
      </c>
    </row>
    <row r="60" spans="1:13" x14ac:dyDescent="0.3">
      <c r="A60">
        <v>59</v>
      </c>
      <c r="B60" t="s">
        <v>142</v>
      </c>
      <c r="C60" s="1">
        <v>45463</v>
      </c>
      <c r="D60" s="1">
        <v>45470</v>
      </c>
      <c r="E60">
        <v>7</v>
      </c>
      <c r="F60" t="s">
        <v>143</v>
      </c>
      <c r="G60">
        <v>26</v>
      </c>
      <c r="H60" t="s">
        <v>15</v>
      </c>
      <c r="I60" t="s">
        <v>59</v>
      </c>
      <c r="J60" t="s">
        <v>17</v>
      </c>
      <c r="K60" s="2">
        <v>1200</v>
      </c>
      <c r="L60" t="s">
        <v>101</v>
      </c>
      <c r="M60" s="2">
        <v>300</v>
      </c>
    </row>
    <row r="61" spans="1:13" x14ac:dyDescent="0.3">
      <c r="A61">
        <v>60</v>
      </c>
      <c r="B61" t="s">
        <v>144</v>
      </c>
      <c r="C61" s="1">
        <v>45488</v>
      </c>
      <c r="D61" s="1">
        <v>45496</v>
      </c>
      <c r="E61">
        <v>8</v>
      </c>
      <c r="F61" t="s">
        <v>145</v>
      </c>
      <c r="G61">
        <v>33</v>
      </c>
      <c r="H61" t="s">
        <v>21</v>
      </c>
      <c r="I61" t="s">
        <v>86</v>
      </c>
      <c r="J61" t="s">
        <v>34</v>
      </c>
      <c r="K61" s="2">
        <v>800</v>
      </c>
      <c r="L61" t="s">
        <v>35</v>
      </c>
      <c r="M61" s="2">
        <v>100</v>
      </c>
    </row>
    <row r="62" spans="1:13" x14ac:dyDescent="0.3">
      <c r="A62">
        <v>61</v>
      </c>
      <c r="B62" t="s">
        <v>70</v>
      </c>
      <c r="C62" s="1">
        <v>44754</v>
      </c>
      <c r="D62" s="1">
        <v>44760</v>
      </c>
      <c r="E62">
        <v>6</v>
      </c>
      <c r="F62" t="s">
        <v>146</v>
      </c>
      <c r="G62">
        <v>35</v>
      </c>
      <c r="H62" t="s">
        <v>21</v>
      </c>
      <c r="I62" t="s">
        <v>16</v>
      </c>
      <c r="J62" t="s">
        <v>17</v>
      </c>
      <c r="K62">
        <v>1200</v>
      </c>
      <c r="L62" t="s">
        <v>71</v>
      </c>
      <c r="M62">
        <v>800</v>
      </c>
    </row>
    <row r="63" spans="1:13" x14ac:dyDescent="0.3">
      <c r="A63">
        <v>62</v>
      </c>
      <c r="B63" t="s">
        <v>76</v>
      </c>
      <c r="C63" s="1">
        <v>44807</v>
      </c>
      <c r="D63" s="1">
        <v>44814</v>
      </c>
      <c r="E63">
        <v>7</v>
      </c>
      <c r="F63" t="s">
        <v>77</v>
      </c>
      <c r="G63">
        <v>28</v>
      </c>
      <c r="H63" t="s">
        <v>15</v>
      </c>
      <c r="I63" t="s">
        <v>78</v>
      </c>
      <c r="J63" t="s">
        <v>41</v>
      </c>
      <c r="K63">
        <v>400</v>
      </c>
      <c r="L63" t="s">
        <v>35</v>
      </c>
      <c r="M63">
        <v>300</v>
      </c>
    </row>
    <row r="64" spans="1:13" x14ac:dyDescent="0.3">
      <c r="A64">
        <v>63</v>
      </c>
      <c r="B64" t="s">
        <v>147</v>
      </c>
      <c r="C64" s="1">
        <v>44933</v>
      </c>
      <c r="D64" s="1">
        <v>44942</v>
      </c>
      <c r="E64">
        <v>9</v>
      </c>
      <c r="F64" t="s">
        <v>148</v>
      </c>
      <c r="G64">
        <v>29</v>
      </c>
      <c r="H64" t="s">
        <v>21</v>
      </c>
      <c r="I64" t="s">
        <v>30</v>
      </c>
      <c r="J64" t="s">
        <v>149</v>
      </c>
      <c r="K64">
        <v>800</v>
      </c>
      <c r="L64" t="s">
        <v>101</v>
      </c>
      <c r="M64">
        <v>200</v>
      </c>
    </row>
    <row r="65" spans="1:13" x14ac:dyDescent="0.3">
      <c r="A65">
        <v>64</v>
      </c>
      <c r="B65" t="s">
        <v>82</v>
      </c>
      <c r="C65" s="1">
        <v>45100</v>
      </c>
      <c r="D65" s="1">
        <v>45106</v>
      </c>
      <c r="E65">
        <v>6</v>
      </c>
      <c r="F65" t="s">
        <v>25</v>
      </c>
      <c r="G65">
        <v>43</v>
      </c>
      <c r="H65" t="s">
        <v>15</v>
      </c>
      <c r="I65" t="s">
        <v>40</v>
      </c>
      <c r="J65" t="s">
        <v>17</v>
      </c>
      <c r="K65">
        <v>1500</v>
      </c>
      <c r="L65" t="s">
        <v>71</v>
      </c>
      <c r="M65">
        <v>1200</v>
      </c>
    </row>
    <row r="66" spans="1:13" x14ac:dyDescent="0.3">
      <c r="A66">
        <v>65</v>
      </c>
      <c r="B66" t="s">
        <v>93</v>
      </c>
      <c r="C66" s="1">
        <v>45156</v>
      </c>
      <c r="D66" s="1">
        <v>45163</v>
      </c>
      <c r="E66">
        <v>7</v>
      </c>
      <c r="F66" t="s">
        <v>150</v>
      </c>
      <c r="G66">
        <v>31</v>
      </c>
      <c r="H66" t="s">
        <v>21</v>
      </c>
      <c r="I66" t="s">
        <v>56</v>
      </c>
      <c r="J66" t="s">
        <v>149</v>
      </c>
      <c r="K66">
        <v>900</v>
      </c>
      <c r="L66" t="s">
        <v>71</v>
      </c>
      <c r="M66">
        <v>700</v>
      </c>
    </row>
    <row r="67" spans="1:13" x14ac:dyDescent="0.3">
      <c r="A67">
        <v>66</v>
      </c>
      <c r="B67" t="s">
        <v>72</v>
      </c>
      <c r="C67" s="1">
        <v>45323</v>
      </c>
      <c r="D67" s="1">
        <v>45330</v>
      </c>
      <c r="E67">
        <v>7</v>
      </c>
      <c r="F67" t="s">
        <v>151</v>
      </c>
      <c r="G67">
        <v>27</v>
      </c>
      <c r="H67" t="s">
        <v>15</v>
      </c>
      <c r="I67" t="s">
        <v>16</v>
      </c>
      <c r="J67" t="s">
        <v>23</v>
      </c>
      <c r="K67">
        <v>2200</v>
      </c>
      <c r="L67" t="s">
        <v>71</v>
      </c>
      <c r="M67">
        <v>1000</v>
      </c>
    </row>
    <row r="68" spans="1:13" x14ac:dyDescent="0.3">
      <c r="A68">
        <v>67</v>
      </c>
      <c r="B68" t="s">
        <v>70</v>
      </c>
      <c r="C68" s="1">
        <v>45418</v>
      </c>
      <c r="D68" s="1">
        <v>45424</v>
      </c>
      <c r="E68">
        <v>6</v>
      </c>
      <c r="F68" t="s">
        <v>152</v>
      </c>
      <c r="G68">
        <v>39</v>
      </c>
      <c r="H68" t="s">
        <v>21</v>
      </c>
      <c r="I68" t="s">
        <v>153</v>
      </c>
      <c r="J68" t="s">
        <v>17</v>
      </c>
      <c r="K68">
        <v>1100</v>
      </c>
      <c r="L68" t="s">
        <v>35</v>
      </c>
      <c r="M68">
        <v>200</v>
      </c>
    </row>
    <row r="69" spans="1:13" x14ac:dyDescent="0.3">
      <c r="A69">
        <v>68</v>
      </c>
      <c r="B69" t="s">
        <v>79</v>
      </c>
      <c r="C69" s="1">
        <v>45493</v>
      </c>
      <c r="D69" s="1">
        <v>45499</v>
      </c>
      <c r="E69">
        <v>6</v>
      </c>
      <c r="F69" t="s">
        <v>154</v>
      </c>
      <c r="G69">
        <v>25</v>
      </c>
      <c r="H69" t="s">
        <v>15</v>
      </c>
      <c r="I69" t="s">
        <v>16</v>
      </c>
      <c r="J69" t="s">
        <v>149</v>
      </c>
      <c r="K69">
        <v>1000</v>
      </c>
      <c r="L69" t="s">
        <v>71</v>
      </c>
      <c r="M69">
        <v>800</v>
      </c>
    </row>
    <row r="70" spans="1:13" x14ac:dyDescent="0.3">
      <c r="A70">
        <v>69</v>
      </c>
      <c r="B70" t="s">
        <v>87</v>
      </c>
      <c r="C70" s="1">
        <v>45543</v>
      </c>
      <c r="D70" s="1">
        <v>45551</v>
      </c>
      <c r="E70">
        <v>8</v>
      </c>
      <c r="F70" t="s">
        <v>155</v>
      </c>
      <c r="G70">
        <v>33</v>
      </c>
      <c r="H70" t="s">
        <v>21</v>
      </c>
      <c r="I70" t="s">
        <v>89</v>
      </c>
      <c r="J70" t="s">
        <v>41</v>
      </c>
      <c r="K70">
        <v>300</v>
      </c>
      <c r="L70" t="s">
        <v>71</v>
      </c>
      <c r="M70">
        <v>700</v>
      </c>
    </row>
    <row r="71" spans="1:13" x14ac:dyDescent="0.3">
      <c r="A71">
        <v>70</v>
      </c>
      <c r="B71" t="s">
        <v>84</v>
      </c>
      <c r="C71" s="1">
        <v>45702</v>
      </c>
      <c r="D71" s="1">
        <v>45708</v>
      </c>
      <c r="E71">
        <v>6</v>
      </c>
      <c r="F71" t="s">
        <v>156</v>
      </c>
      <c r="G71">
        <v>41</v>
      </c>
      <c r="H71" t="s">
        <v>15</v>
      </c>
      <c r="I71" t="s">
        <v>86</v>
      </c>
      <c r="J71" t="s">
        <v>17</v>
      </c>
      <c r="K71">
        <v>1300</v>
      </c>
      <c r="L71" t="s">
        <v>35</v>
      </c>
      <c r="M71">
        <v>100</v>
      </c>
    </row>
    <row r="72" spans="1:13" x14ac:dyDescent="0.3">
      <c r="A72">
        <v>71</v>
      </c>
      <c r="B72" t="s">
        <v>72</v>
      </c>
      <c r="C72" s="1">
        <v>45798</v>
      </c>
      <c r="D72" s="1">
        <v>45806</v>
      </c>
      <c r="E72">
        <v>8</v>
      </c>
      <c r="F72" t="s">
        <v>157</v>
      </c>
      <c r="G72">
        <v>37</v>
      </c>
      <c r="H72" t="s">
        <v>21</v>
      </c>
      <c r="I72" t="s">
        <v>30</v>
      </c>
      <c r="J72" t="s">
        <v>23</v>
      </c>
      <c r="K72">
        <v>1800</v>
      </c>
      <c r="L72" t="s">
        <v>71</v>
      </c>
      <c r="M72">
        <v>1000</v>
      </c>
    </row>
    <row r="73" spans="1:13" x14ac:dyDescent="0.3">
      <c r="A73">
        <v>72</v>
      </c>
    </row>
    <row r="74" spans="1:13" x14ac:dyDescent="0.3">
      <c r="A74">
        <v>73</v>
      </c>
      <c r="B74" t="s">
        <v>24</v>
      </c>
      <c r="C74" s="1">
        <v>44778</v>
      </c>
      <c r="D74" s="1">
        <v>44785</v>
      </c>
      <c r="E74">
        <v>7</v>
      </c>
      <c r="F74" t="s">
        <v>158</v>
      </c>
      <c r="G74">
        <v>35</v>
      </c>
      <c r="H74" t="s">
        <v>21</v>
      </c>
      <c r="I74" t="s">
        <v>133</v>
      </c>
      <c r="J74" t="s">
        <v>23</v>
      </c>
      <c r="K74" t="s">
        <v>159</v>
      </c>
      <c r="L74" t="s">
        <v>71</v>
      </c>
      <c r="M74" t="s">
        <v>160</v>
      </c>
    </row>
    <row r="75" spans="1:13" x14ac:dyDescent="0.3">
      <c r="A75">
        <v>74</v>
      </c>
      <c r="B75" t="s">
        <v>31</v>
      </c>
      <c r="C75" s="1">
        <v>44927</v>
      </c>
      <c r="D75" s="1">
        <v>44935</v>
      </c>
      <c r="E75">
        <v>8</v>
      </c>
      <c r="F75" t="s">
        <v>161</v>
      </c>
      <c r="G75">
        <v>29</v>
      </c>
      <c r="H75" t="s">
        <v>15</v>
      </c>
      <c r="I75" t="s">
        <v>16</v>
      </c>
      <c r="J75" t="s">
        <v>17</v>
      </c>
      <c r="K75" t="s">
        <v>162</v>
      </c>
      <c r="L75" t="s">
        <v>35</v>
      </c>
      <c r="M75" t="s">
        <v>163</v>
      </c>
    </row>
    <row r="76" spans="1:13" x14ac:dyDescent="0.3">
      <c r="A76">
        <v>75</v>
      </c>
      <c r="B76" t="s">
        <v>51</v>
      </c>
      <c r="C76" s="1">
        <v>45031</v>
      </c>
      <c r="D76" s="1">
        <v>45038</v>
      </c>
      <c r="E76">
        <v>7</v>
      </c>
      <c r="F76" t="s">
        <v>164</v>
      </c>
      <c r="G76">
        <v>42</v>
      </c>
      <c r="H76" t="s">
        <v>21</v>
      </c>
      <c r="I76" t="s">
        <v>53</v>
      </c>
      <c r="J76" t="s">
        <v>23</v>
      </c>
      <c r="K76" t="s">
        <v>160</v>
      </c>
      <c r="L76" t="s">
        <v>71</v>
      </c>
      <c r="M76" t="s">
        <v>159</v>
      </c>
    </row>
    <row r="77" spans="1:13" x14ac:dyDescent="0.3">
      <c r="A77">
        <v>76</v>
      </c>
      <c r="B77" t="s">
        <v>36</v>
      </c>
      <c r="C77" s="1">
        <v>45084</v>
      </c>
      <c r="D77" s="1">
        <v>45091</v>
      </c>
      <c r="E77">
        <v>7</v>
      </c>
      <c r="F77" t="s">
        <v>14</v>
      </c>
      <c r="G77">
        <v>46</v>
      </c>
      <c r="H77" t="s">
        <v>15</v>
      </c>
      <c r="I77" t="s">
        <v>30</v>
      </c>
      <c r="J77" t="s">
        <v>17</v>
      </c>
      <c r="K77" t="s">
        <v>165</v>
      </c>
      <c r="L77" t="s">
        <v>71</v>
      </c>
      <c r="M77" t="s">
        <v>166</v>
      </c>
    </row>
    <row r="78" spans="1:13" x14ac:dyDescent="0.3">
      <c r="A78">
        <v>77</v>
      </c>
      <c r="B78" t="s">
        <v>167</v>
      </c>
      <c r="C78" s="1">
        <v>45170</v>
      </c>
      <c r="D78" s="1">
        <v>45179</v>
      </c>
      <c r="E78">
        <v>9</v>
      </c>
      <c r="F78" t="s">
        <v>168</v>
      </c>
      <c r="G78">
        <v>31</v>
      </c>
      <c r="H78" t="s">
        <v>15</v>
      </c>
      <c r="I78" t="s">
        <v>169</v>
      </c>
      <c r="J78" t="s">
        <v>170</v>
      </c>
      <c r="K78" t="s">
        <v>171</v>
      </c>
      <c r="L78" t="s">
        <v>172</v>
      </c>
      <c r="M78" t="s">
        <v>173</v>
      </c>
    </row>
    <row r="79" spans="1:13" x14ac:dyDescent="0.3">
      <c r="A79">
        <v>78</v>
      </c>
      <c r="B79" t="s">
        <v>24</v>
      </c>
      <c r="C79" s="1">
        <v>45242</v>
      </c>
      <c r="D79" s="1">
        <v>45249</v>
      </c>
      <c r="E79">
        <v>7</v>
      </c>
      <c r="F79" t="s">
        <v>174</v>
      </c>
      <c r="G79">
        <v>25</v>
      </c>
      <c r="H79" t="s">
        <v>21</v>
      </c>
      <c r="I79" t="s">
        <v>175</v>
      </c>
      <c r="J79" t="s">
        <v>23</v>
      </c>
      <c r="K79" t="s">
        <v>176</v>
      </c>
      <c r="L79" t="s">
        <v>71</v>
      </c>
      <c r="M79" t="s">
        <v>166</v>
      </c>
    </row>
    <row r="80" spans="1:13" x14ac:dyDescent="0.3">
      <c r="A80">
        <v>79</v>
      </c>
      <c r="B80" t="s">
        <v>177</v>
      </c>
      <c r="C80" s="1">
        <v>45327</v>
      </c>
      <c r="D80" s="1">
        <v>45334</v>
      </c>
      <c r="E80">
        <v>7</v>
      </c>
      <c r="F80" t="s">
        <v>25</v>
      </c>
      <c r="G80">
        <v>38</v>
      </c>
      <c r="H80" t="s">
        <v>15</v>
      </c>
      <c r="I80" t="s">
        <v>40</v>
      </c>
      <c r="J80" t="s">
        <v>17</v>
      </c>
      <c r="K80" t="s">
        <v>178</v>
      </c>
      <c r="L80" t="s">
        <v>71</v>
      </c>
      <c r="M80" t="s">
        <v>176</v>
      </c>
    </row>
    <row r="81" spans="1:13" x14ac:dyDescent="0.3">
      <c r="A81">
        <v>80</v>
      </c>
      <c r="B81" t="s">
        <v>179</v>
      </c>
      <c r="C81" s="1">
        <v>45427</v>
      </c>
      <c r="D81" s="1">
        <v>45434</v>
      </c>
      <c r="E81">
        <v>7</v>
      </c>
      <c r="F81" t="s">
        <v>180</v>
      </c>
      <c r="G81">
        <v>27</v>
      </c>
      <c r="H81" t="s">
        <v>21</v>
      </c>
      <c r="I81" t="s">
        <v>26</v>
      </c>
      <c r="J81" t="s">
        <v>17</v>
      </c>
      <c r="K81" t="s">
        <v>171</v>
      </c>
      <c r="L81" t="s">
        <v>71</v>
      </c>
      <c r="M81" t="s">
        <v>171</v>
      </c>
    </row>
    <row r="82" spans="1:13" x14ac:dyDescent="0.3">
      <c r="A82">
        <v>81</v>
      </c>
      <c r="B82" t="s">
        <v>28</v>
      </c>
      <c r="C82" s="1">
        <v>45524</v>
      </c>
      <c r="D82" s="1">
        <v>45531</v>
      </c>
      <c r="E82">
        <v>7</v>
      </c>
      <c r="F82" t="s">
        <v>181</v>
      </c>
      <c r="G82">
        <v>60</v>
      </c>
      <c r="H82" t="s">
        <v>15</v>
      </c>
      <c r="I82" t="s">
        <v>16</v>
      </c>
      <c r="J82" t="s">
        <v>17</v>
      </c>
      <c r="K82" t="s">
        <v>182</v>
      </c>
      <c r="L82" t="s">
        <v>71</v>
      </c>
      <c r="M82" t="s">
        <v>162</v>
      </c>
    </row>
    <row r="83" spans="1:13" x14ac:dyDescent="0.3">
      <c r="A83">
        <v>82</v>
      </c>
      <c r="B83" t="s">
        <v>183</v>
      </c>
      <c r="C83" s="1">
        <v>45658</v>
      </c>
      <c r="D83" s="1">
        <v>45665</v>
      </c>
      <c r="E83">
        <v>7</v>
      </c>
      <c r="F83" t="s">
        <v>184</v>
      </c>
      <c r="G83">
        <v>32</v>
      </c>
      <c r="H83" t="s">
        <v>21</v>
      </c>
      <c r="I83" t="s">
        <v>30</v>
      </c>
      <c r="J83" t="s">
        <v>23</v>
      </c>
      <c r="K83" t="s">
        <v>166</v>
      </c>
      <c r="L83" t="s">
        <v>71</v>
      </c>
      <c r="M83" t="s">
        <v>160</v>
      </c>
    </row>
    <row r="84" spans="1:13" x14ac:dyDescent="0.3">
      <c r="A84">
        <v>83</v>
      </c>
      <c r="B84" t="s">
        <v>144</v>
      </c>
      <c r="C84" s="1">
        <v>45762</v>
      </c>
      <c r="D84" s="1">
        <v>45769</v>
      </c>
      <c r="E84">
        <v>7</v>
      </c>
      <c r="F84" t="s">
        <v>185</v>
      </c>
      <c r="G84">
        <v>41</v>
      </c>
      <c r="H84" t="s">
        <v>15</v>
      </c>
      <c r="I84" t="s">
        <v>16</v>
      </c>
      <c r="J84" t="s">
        <v>17</v>
      </c>
      <c r="K84">
        <v>100</v>
      </c>
    </row>
    <row r="85" spans="1:13" x14ac:dyDescent="0.3">
      <c r="A85">
        <v>84</v>
      </c>
      <c r="B85" t="s">
        <v>70</v>
      </c>
      <c r="C85" s="1">
        <v>44362</v>
      </c>
      <c r="D85" s="1">
        <v>44367</v>
      </c>
      <c r="E85">
        <v>6</v>
      </c>
      <c r="F85" t="s">
        <v>14</v>
      </c>
      <c r="G85">
        <v>35</v>
      </c>
      <c r="H85" t="s">
        <v>15</v>
      </c>
      <c r="I85" t="s">
        <v>16</v>
      </c>
      <c r="J85" t="s">
        <v>17</v>
      </c>
      <c r="K85" t="s">
        <v>160</v>
      </c>
      <c r="L85" t="s">
        <v>71</v>
      </c>
      <c r="M85" t="s">
        <v>159</v>
      </c>
    </row>
    <row r="86" spans="1:13" x14ac:dyDescent="0.3">
      <c r="A86">
        <v>85</v>
      </c>
      <c r="B86" t="s">
        <v>76</v>
      </c>
      <c r="C86" s="1">
        <v>44378</v>
      </c>
      <c r="D86" s="1">
        <v>44387</v>
      </c>
      <c r="E86">
        <v>10</v>
      </c>
      <c r="F86" t="s">
        <v>158</v>
      </c>
      <c r="G86">
        <v>28</v>
      </c>
      <c r="H86" t="s">
        <v>21</v>
      </c>
      <c r="I86" t="s">
        <v>26</v>
      </c>
      <c r="J86" t="s">
        <v>34</v>
      </c>
      <c r="K86" t="s">
        <v>159</v>
      </c>
      <c r="L86" t="s">
        <v>35</v>
      </c>
      <c r="M86" t="s">
        <v>173</v>
      </c>
    </row>
    <row r="87" spans="1:13" x14ac:dyDescent="0.3">
      <c r="A87">
        <v>86</v>
      </c>
      <c r="B87" t="s">
        <v>72</v>
      </c>
      <c r="C87" s="1">
        <v>44418</v>
      </c>
      <c r="D87" s="1">
        <v>44428</v>
      </c>
      <c r="E87">
        <v>11</v>
      </c>
      <c r="F87" t="s">
        <v>94</v>
      </c>
      <c r="G87">
        <v>42</v>
      </c>
      <c r="H87" t="s">
        <v>21</v>
      </c>
      <c r="I87" t="s">
        <v>56</v>
      </c>
      <c r="J87" t="s">
        <v>23</v>
      </c>
      <c r="K87" t="s">
        <v>165</v>
      </c>
      <c r="L87" t="s">
        <v>71</v>
      </c>
      <c r="M87" t="s">
        <v>166</v>
      </c>
    </row>
    <row r="88" spans="1:13" x14ac:dyDescent="0.3">
      <c r="A88">
        <v>87</v>
      </c>
      <c r="B88" t="s">
        <v>82</v>
      </c>
      <c r="C88" s="1">
        <v>44440</v>
      </c>
      <c r="D88" s="1">
        <v>44449</v>
      </c>
      <c r="E88">
        <v>9</v>
      </c>
      <c r="F88" t="s">
        <v>25</v>
      </c>
      <c r="G88">
        <v>45</v>
      </c>
      <c r="H88" t="s">
        <v>15</v>
      </c>
      <c r="I88" t="s">
        <v>40</v>
      </c>
      <c r="J88" t="s">
        <v>17</v>
      </c>
      <c r="K88" t="s">
        <v>178</v>
      </c>
      <c r="L88" t="s">
        <v>71</v>
      </c>
      <c r="M88" t="s">
        <v>176</v>
      </c>
    </row>
    <row r="89" spans="1:13" x14ac:dyDescent="0.3">
      <c r="A89">
        <v>88</v>
      </c>
      <c r="B89" t="s">
        <v>79</v>
      </c>
      <c r="C89" s="1">
        <v>44484</v>
      </c>
      <c r="D89" s="1">
        <v>44489</v>
      </c>
      <c r="E89">
        <v>6</v>
      </c>
      <c r="F89" t="s">
        <v>39</v>
      </c>
      <c r="G89">
        <v>31</v>
      </c>
      <c r="H89" t="s">
        <v>21</v>
      </c>
      <c r="I89" t="s">
        <v>16</v>
      </c>
      <c r="J89" t="s">
        <v>34</v>
      </c>
      <c r="K89" t="s">
        <v>166</v>
      </c>
      <c r="L89" t="s">
        <v>101</v>
      </c>
      <c r="M89" t="s">
        <v>163</v>
      </c>
    </row>
    <row r="90" spans="1:13" x14ac:dyDescent="0.3">
      <c r="A90">
        <v>89</v>
      </c>
      <c r="B90" t="s">
        <v>74</v>
      </c>
      <c r="C90" s="1">
        <v>44520</v>
      </c>
      <c r="D90" s="1">
        <v>44530</v>
      </c>
      <c r="E90">
        <v>11</v>
      </c>
      <c r="F90" t="s">
        <v>83</v>
      </c>
      <c r="G90">
        <v>29</v>
      </c>
      <c r="H90" t="s">
        <v>15</v>
      </c>
      <c r="I90" t="s">
        <v>30</v>
      </c>
      <c r="J90" t="s">
        <v>41</v>
      </c>
      <c r="K90" t="s">
        <v>173</v>
      </c>
      <c r="L90" t="s">
        <v>71</v>
      </c>
      <c r="M90" t="s">
        <v>171</v>
      </c>
    </row>
    <row r="91" spans="1:13" x14ac:dyDescent="0.3">
      <c r="A91">
        <v>90</v>
      </c>
      <c r="B91" t="s">
        <v>186</v>
      </c>
      <c r="C91" s="1">
        <v>44562</v>
      </c>
      <c r="D91" s="1">
        <v>44569</v>
      </c>
      <c r="E91">
        <v>8</v>
      </c>
      <c r="F91" t="s">
        <v>187</v>
      </c>
      <c r="G91">
        <v>24</v>
      </c>
      <c r="H91" t="s">
        <v>21</v>
      </c>
      <c r="I91" t="s">
        <v>50</v>
      </c>
      <c r="J91" t="s">
        <v>17</v>
      </c>
      <c r="K91" t="s">
        <v>162</v>
      </c>
      <c r="L91" t="s">
        <v>71</v>
      </c>
      <c r="M91" t="s">
        <v>160</v>
      </c>
    </row>
    <row r="92" spans="1:13" x14ac:dyDescent="0.3">
      <c r="A92">
        <v>91</v>
      </c>
      <c r="B92" t="s">
        <v>87</v>
      </c>
      <c r="C92" s="1">
        <v>44606</v>
      </c>
      <c r="D92" s="1">
        <v>44612</v>
      </c>
      <c r="E92">
        <v>7</v>
      </c>
      <c r="F92" t="s">
        <v>188</v>
      </c>
      <c r="G92">
        <v>26</v>
      </c>
      <c r="H92" t="s">
        <v>15</v>
      </c>
      <c r="I92" t="s">
        <v>33</v>
      </c>
      <c r="J92" t="s">
        <v>34</v>
      </c>
      <c r="K92" t="s">
        <v>171</v>
      </c>
      <c r="L92" t="s">
        <v>35</v>
      </c>
      <c r="M92" t="s">
        <v>189</v>
      </c>
    </row>
    <row r="93" spans="1:13" x14ac:dyDescent="0.3">
      <c r="A93">
        <v>92</v>
      </c>
      <c r="B93" t="s">
        <v>84</v>
      </c>
      <c r="C93" s="1">
        <v>44630</v>
      </c>
      <c r="D93" s="1">
        <v>44640</v>
      </c>
      <c r="E93">
        <v>11</v>
      </c>
      <c r="F93" t="s">
        <v>190</v>
      </c>
      <c r="G93">
        <v>30</v>
      </c>
      <c r="H93" t="s">
        <v>21</v>
      </c>
      <c r="I93" t="s">
        <v>86</v>
      </c>
      <c r="J93" t="s">
        <v>41</v>
      </c>
      <c r="K93" t="s">
        <v>163</v>
      </c>
      <c r="L93" t="s">
        <v>71</v>
      </c>
      <c r="M93" t="s">
        <v>191</v>
      </c>
    </row>
    <row r="94" spans="1:13" x14ac:dyDescent="0.3">
      <c r="A94">
        <v>93</v>
      </c>
      <c r="B94" t="s">
        <v>72</v>
      </c>
      <c r="C94" s="1">
        <v>44666</v>
      </c>
      <c r="D94" s="1">
        <v>44676</v>
      </c>
      <c r="E94">
        <v>11</v>
      </c>
      <c r="F94" t="s">
        <v>192</v>
      </c>
      <c r="G94">
        <v>33</v>
      </c>
      <c r="H94" t="s">
        <v>15</v>
      </c>
      <c r="I94" t="s">
        <v>193</v>
      </c>
      <c r="J94" t="s">
        <v>27</v>
      </c>
      <c r="K94" t="s">
        <v>182</v>
      </c>
      <c r="L94" t="s">
        <v>101</v>
      </c>
      <c r="M94" t="s">
        <v>173</v>
      </c>
    </row>
    <row r="95" spans="1:13" x14ac:dyDescent="0.3">
      <c r="A95">
        <v>94</v>
      </c>
      <c r="B95" t="s">
        <v>194</v>
      </c>
      <c r="C95" s="1">
        <v>44682</v>
      </c>
      <c r="D95" s="1">
        <v>44691</v>
      </c>
      <c r="E95">
        <v>10</v>
      </c>
      <c r="F95" t="s">
        <v>195</v>
      </c>
      <c r="G95">
        <v>27</v>
      </c>
      <c r="H95" t="s">
        <v>21</v>
      </c>
      <c r="I95" t="s">
        <v>26</v>
      </c>
      <c r="J95" t="s">
        <v>17</v>
      </c>
      <c r="K95" t="s">
        <v>160</v>
      </c>
      <c r="L95" t="s">
        <v>35</v>
      </c>
      <c r="M95" t="s">
        <v>196</v>
      </c>
    </row>
    <row r="96" spans="1:13" x14ac:dyDescent="0.3">
      <c r="A96">
        <v>95</v>
      </c>
      <c r="B96" t="s">
        <v>70</v>
      </c>
      <c r="C96" s="1">
        <v>44727</v>
      </c>
      <c r="D96" s="1">
        <v>44732</v>
      </c>
      <c r="E96">
        <v>5</v>
      </c>
      <c r="F96" t="s">
        <v>14</v>
      </c>
      <c r="G96">
        <v>35</v>
      </c>
      <c r="H96" t="s">
        <v>15</v>
      </c>
      <c r="I96" t="s">
        <v>197</v>
      </c>
      <c r="J96" t="s">
        <v>17</v>
      </c>
      <c r="K96" s="2">
        <v>500</v>
      </c>
      <c r="L96" t="s">
        <v>71</v>
      </c>
      <c r="M96" s="2">
        <v>800</v>
      </c>
    </row>
    <row r="97" spans="1:13" x14ac:dyDescent="0.3">
      <c r="A97">
        <v>96</v>
      </c>
      <c r="B97" t="s">
        <v>76</v>
      </c>
      <c r="C97" s="1">
        <v>44805</v>
      </c>
      <c r="D97" s="1">
        <v>44814</v>
      </c>
      <c r="E97">
        <v>9</v>
      </c>
      <c r="F97" t="s">
        <v>198</v>
      </c>
      <c r="G97">
        <v>28</v>
      </c>
      <c r="H97" t="s">
        <v>21</v>
      </c>
      <c r="I97" t="s">
        <v>116</v>
      </c>
      <c r="J97" t="s">
        <v>34</v>
      </c>
      <c r="K97" s="2">
        <v>400</v>
      </c>
      <c r="L97" t="s">
        <v>35</v>
      </c>
      <c r="M97" s="2">
        <v>200</v>
      </c>
    </row>
    <row r="98" spans="1:13" x14ac:dyDescent="0.3">
      <c r="A98">
        <v>97</v>
      </c>
      <c r="B98" t="s">
        <v>82</v>
      </c>
      <c r="C98" s="1">
        <v>44888</v>
      </c>
      <c r="D98" s="1">
        <v>44897</v>
      </c>
      <c r="E98">
        <v>9</v>
      </c>
      <c r="F98" t="s">
        <v>25</v>
      </c>
      <c r="G98">
        <v>45</v>
      </c>
      <c r="H98" t="s">
        <v>15</v>
      </c>
      <c r="I98" t="s">
        <v>199</v>
      </c>
      <c r="J98" t="s">
        <v>41</v>
      </c>
      <c r="K98" s="2">
        <v>200</v>
      </c>
      <c r="L98" t="s">
        <v>71</v>
      </c>
      <c r="M98" s="2">
        <v>1200</v>
      </c>
    </row>
    <row r="99" spans="1:13" x14ac:dyDescent="0.3">
      <c r="A99">
        <v>98</v>
      </c>
      <c r="B99" t="s">
        <v>74</v>
      </c>
      <c r="C99" s="1">
        <v>44971</v>
      </c>
      <c r="D99" s="1">
        <v>44976</v>
      </c>
      <c r="E99">
        <v>5</v>
      </c>
      <c r="F99" t="s">
        <v>157</v>
      </c>
      <c r="G99">
        <v>37</v>
      </c>
      <c r="H99" t="s">
        <v>21</v>
      </c>
      <c r="I99" t="s">
        <v>200</v>
      </c>
      <c r="J99" t="s">
        <v>17</v>
      </c>
      <c r="K99" s="2">
        <v>600</v>
      </c>
      <c r="L99" t="s">
        <v>71</v>
      </c>
      <c r="M99" s="2">
        <v>700</v>
      </c>
    </row>
    <row r="100" spans="1:13" x14ac:dyDescent="0.3">
      <c r="A100">
        <v>99</v>
      </c>
      <c r="B100" t="s">
        <v>79</v>
      </c>
      <c r="C100" s="1">
        <v>45054</v>
      </c>
      <c r="D100" s="1">
        <v>45060</v>
      </c>
      <c r="E100">
        <v>6</v>
      </c>
      <c r="F100" t="s">
        <v>201</v>
      </c>
      <c r="G100">
        <v>50</v>
      </c>
      <c r="H100" t="s">
        <v>15</v>
      </c>
      <c r="I100" t="s">
        <v>202</v>
      </c>
      <c r="J100" t="s">
        <v>34</v>
      </c>
      <c r="K100" s="2">
        <v>800</v>
      </c>
      <c r="L100" t="s">
        <v>101</v>
      </c>
      <c r="M100" s="2">
        <v>300</v>
      </c>
    </row>
    <row r="101" spans="1:13" x14ac:dyDescent="0.3">
      <c r="A101">
        <v>100</v>
      </c>
      <c r="B101" t="s">
        <v>84</v>
      </c>
      <c r="C101" s="1">
        <v>45158</v>
      </c>
      <c r="D101" s="1">
        <v>45165</v>
      </c>
      <c r="E101">
        <v>7</v>
      </c>
      <c r="F101" t="s">
        <v>203</v>
      </c>
      <c r="G101">
        <v>31</v>
      </c>
      <c r="H101" t="s">
        <v>21</v>
      </c>
      <c r="I101" t="s">
        <v>204</v>
      </c>
      <c r="J101" t="s">
        <v>17</v>
      </c>
      <c r="K101" s="2">
        <v>700</v>
      </c>
      <c r="L101" t="s">
        <v>71</v>
      </c>
      <c r="M101" s="2">
        <v>900</v>
      </c>
    </row>
    <row r="102" spans="1:13" x14ac:dyDescent="0.3">
      <c r="A102">
        <v>101</v>
      </c>
      <c r="B102" t="s">
        <v>87</v>
      </c>
      <c r="C102" s="1">
        <v>45242</v>
      </c>
      <c r="D102" s="1">
        <v>45250</v>
      </c>
      <c r="E102">
        <v>8</v>
      </c>
      <c r="F102" t="s">
        <v>205</v>
      </c>
      <c r="G102">
        <v>42</v>
      </c>
      <c r="H102" t="s">
        <v>15</v>
      </c>
      <c r="I102" t="s">
        <v>95</v>
      </c>
      <c r="J102" t="s">
        <v>41</v>
      </c>
      <c r="K102" s="2">
        <v>300</v>
      </c>
      <c r="L102" t="s">
        <v>35</v>
      </c>
      <c r="M102" s="2">
        <v>100</v>
      </c>
    </row>
    <row r="103" spans="1:13" x14ac:dyDescent="0.3">
      <c r="A103">
        <v>102</v>
      </c>
      <c r="B103" t="s">
        <v>147</v>
      </c>
      <c r="C103" s="1">
        <v>45297</v>
      </c>
      <c r="D103" s="1">
        <v>45305</v>
      </c>
      <c r="E103">
        <v>8</v>
      </c>
      <c r="F103" t="s">
        <v>94</v>
      </c>
      <c r="G103">
        <v>27</v>
      </c>
      <c r="H103" t="s">
        <v>21</v>
      </c>
      <c r="I103" t="s">
        <v>114</v>
      </c>
      <c r="J103" t="s">
        <v>34</v>
      </c>
      <c r="K103" s="2">
        <v>500</v>
      </c>
      <c r="L103" t="s">
        <v>71</v>
      </c>
      <c r="M103" s="2">
        <v>1500</v>
      </c>
    </row>
    <row r="104" spans="1:13" x14ac:dyDescent="0.3">
      <c r="A104">
        <v>103</v>
      </c>
      <c r="B104" t="s">
        <v>206</v>
      </c>
      <c r="C104" s="1">
        <v>45385</v>
      </c>
      <c r="D104" s="1">
        <v>45392</v>
      </c>
      <c r="E104">
        <v>7</v>
      </c>
      <c r="F104" t="s">
        <v>207</v>
      </c>
      <c r="G104">
        <v>33</v>
      </c>
      <c r="H104" t="s">
        <v>15</v>
      </c>
      <c r="I104" t="s">
        <v>104</v>
      </c>
      <c r="J104" t="s">
        <v>17</v>
      </c>
      <c r="K104" s="2">
        <v>900</v>
      </c>
      <c r="L104" t="s">
        <v>101</v>
      </c>
      <c r="M104" s="2">
        <v>400</v>
      </c>
    </row>
    <row r="105" spans="1:13" x14ac:dyDescent="0.3">
      <c r="A105">
        <v>104</v>
      </c>
      <c r="B105" t="s">
        <v>72</v>
      </c>
      <c r="C105" s="1">
        <v>45495</v>
      </c>
      <c r="D105" s="1">
        <v>45501</v>
      </c>
      <c r="E105">
        <v>6</v>
      </c>
      <c r="F105" t="s">
        <v>208</v>
      </c>
      <c r="G105">
        <v>29</v>
      </c>
      <c r="H105" t="s">
        <v>21</v>
      </c>
      <c r="I105" t="s">
        <v>199</v>
      </c>
      <c r="J105" t="s">
        <v>27</v>
      </c>
      <c r="K105" s="2">
        <v>1200</v>
      </c>
      <c r="L105" t="s">
        <v>71</v>
      </c>
      <c r="M105" s="2">
        <v>1000</v>
      </c>
    </row>
    <row r="106" spans="1:13" x14ac:dyDescent="0.3">
      <c r="A106">
        <v>105</v>
      </c>
      <c r="B106" t="s">
        <v>209</v>
      </c>
      <c r="C106" s="1">
        <v>45575</v>
      </c>
      <c r="D106" s="1">
        <v>45582</v>
      </c>
      <c r="E106">
        <v>7</v>
      </c>
      <c r="F106" t="s">
        <v>210</v>
      </c>
      <c r="G106">
        <v>41</v>
      </c>
      <c r="H106" t="s">
        <v>15</v>
      </c>
      <c r="I106" t="s">
        <v>211</v>
      </c>
      <c r="J106" t="s">
        <v>17</v>
      </c>
      <c r="K106" s="2">
        <v>600</v>
      </c>
      <c r="L106" t="s">
        <v>35</v>
      </c>
      <c r="M106" s="2">
        <v>150</v>
      </c>
    </row>
    <row r="107" spans="1:13" x14ac:dyDescent="0.3">
      <c r="A107">
        <v>106</v>
      </c>
      <c r="B107" t="s">
        <v>70</v>
      </c>
      <c r="C107" s="1">
        <v>44696</v>
      </c>
      <c r="D107" s="1">
        <v>44701</v>
      </c>
      <c r="E107">
        <v>5</v>
      </c>
      <c r="F107" t="s">
        <v>14</v>
      </c>
      <c r="G107">
        <v>35</v>
      </c>
      <c r="H107" t="s">
        <v>15</v>
      </c>
      <c r="I107" t="s">
        <v>197</v>
      </c>
      <c r="J107" t="s">
        <v>17</v>
      </c>
      <c r="K107">
        <v>1000</v>
      </c>
      <c r="L107" t="s">
        <v>71</v>
      </c>
      <c r="M107">
        <v>800</v>
      </c>
    </row>
    <row r="108" spans="1:13" x14ac:dyDescent="0.3">
      <c r="A108">
        <v>107</v>
      </c>
      <c r="B108" t="s">
        <v>76</v>
      </c>
      <c r="C108" s="1">
        <v>44805</v>
      </c>
      <c r="D108" s="1">
        <v>44814</v>
      </c>
      <c r="E108">
        <v>9</v>
      </c>
      <c r="F108" t="s">
        <v>158</v>
      </c>
      <c r="G108">
        <v>28</v>
      </c>
      <c r="H108" t="s">
        <v>21</v>
      </c>
      <c r="I108" t="s">
        <v>199</v>
      </c>
      <c r="J108" t="s">
        <v>34</v>
      </c>
      <c r="K108">
        <v>800</v>
      </c>
      <c r="L108" t="s">
        <v>35</v>
      </c>
      <c r="M108">
        <v>500</v>
      </c>
    </row>
    <row r="109" spans="1:13" x14ac:dyDescent="0.3">
      <c r="A109">
        <v>108</v>
      </c>
      <c r="B109" t="s">
        <v>79</v>
      </c>
      <c r="C109" s="1">
        <v>44732</v>
      </c>
      <c r="D109" s="1">
        <v>44737</v>
      </c>
      <c r="E109">
        <v>5</v>
      </c>
      <c r="F109" t="s">
        <v>201</v>
      </c>
      <c r="G109">
        <v>42</v>
      </c>
      <c r="H109" t="s">
        <v>15</v>
      </c>
      <c r="I109" t="s">
        <v>212</v>
      </c>
      <c r="J109" t="s">
        <v>17</v>
      </c>
      <c r="K109">
        <v>1200</v>
      </c>
      <c r="L109" t="s">
        <v>101</v>
      </c>
      <c r="M109">
        <v>200</v>
      </c>
    </row>
    <row r="110" spans="1:13" x14ac:dyDescent="0.3">
      <c r="A110">
        <v>109</v>
      </c>
      <c r="B110" t="s">
        <v>72</v>
      </c>
      <c r="C110" s="1">
        <v>44785</v>
      </c>
      <c r="D110" s="1">
        <v>44793</v>
      </c>
      <c r="E110">
        <v>8</v>
      </c>
      <c r="F110" t="s">
        <v>213</v>
      </c>
      <c r="G110">
        <v>30</v>
      </c>
      <c r="H110" t="s">
        <v>21</v>
      </c>
      <c r="I110" t="s">
        <v>204</v>
      </c>
      <c r="J110" t="s">
        <v>23</v>
      </c>
      <c r="K110">
        <v>1500</v>
      </c>
      <c r="L110" t="s">
        <v>71</v>
      </c>
      <c r="M110">
        <v>1200</v>
      </c>
    </row>
    <row r="111" spans="1:13" x14ac:dyDescent="0.3">
      <c r="A111">
        <v>110</v>
      </c>
      <c r="B111" t="s">
        <v>82</v>
      </c>
      <c r="C111" s="1">
        <v>44743</v>
      </c>
      <c r="D111" s="1">
        <v>44752</v>
      </c>
      <c r="E111">
        <v>9</v>
      </c>
      <c r="F111" t="s">
        <v>92</v>
      </c>
      <c r="G111">
        <v>26</v>
      </c>
      <c r="H111" t="s">
        <v>15</v>
      </c>
      <c r="I111" t="s">
        <v>116</v>
      </c>
      <c r="J111" t="s">
        <v>41</v>
      </c>
      <c r="K111">
        <v>300</v>
      </c>
      <c r="L111" t="s">
        <v>71</v>
      </c>
      <c r="M111">
        <v>900</v>
      </c>
    </row>
    <row r="112" spans="1:13" x14ac:dyDescent="0.3">
      <c r="A112">
        <v>111</v>
      </c>
      <c r="B112" t="s">
        <v>74</v>
      </c>
      <c r="C112" s="1">
        <v>44722</v>
      </c>
      <c r="D112" s="1">
        <v>44727</v>
      </c>
      <c r="E112">
        <v>5</v>
      </c>
      <c r="F112" t="s">
        <v>214</v>
      </c>
      <c r="G112">
        <v>38</v>
      </c>
      <c r="H112" t="s">
        <v>21</v>
      </c>
      <c r="I112" t="s">
        <v>215</v>
      </c>
      <c r="J112" t="s">
        <v>17</v>
      </c>
      <c r="K112">
        <v>900</v>
      </c>
      <c r="L112" t="s">
        <v>35</v>
      </c>
      <c r="M112">
        <v>150</v>
      </c>
    </row>
    <row r="113" spans="1:13" x14ac:dyDescent="0.3">
      <c r="A113">
        <v>112</v>
      </c>
      <c r="B113" t="s">
        <v>216</v>
      </c>
      <c r="C113" s="1">
        <v>44809</v>
      </c>
      <c r="D113" s="1">
        <v>44816</v>
      </c>
      <c r="E113">
        <v>7</v>
      </c>
      <c r="F113" t="s">
        <v>217</v>
      </c>
      <c r="G113">
        <v>45</v>
      </c>
      <c r="H113" t="s">
        <v>15</v>
      </c>
      <c r="I113" t="s">
        <v>218</v>
      </c>
      <c r="J113" t="s">
        <v>27</v>
      </c>
      <c r="K113">
        <v>2000</v>
      </c>
      <c r="L113" t="s">
        <v>71</v>
      </c>
      <c r="M113">
        <v>700</v>
      </c>
    </row>
    <row r="114" spans="1:13" x14ac:dyDescent="0.3">
      <c r="A114">
        <v>113</v>
      </c>
      <c r="B114" t="s">
        <v>84</v>
      </c>
      <c r="C114" s="1">
        <v>44682</v>
      </c>
      <c r="D114" s="1">
        <v>44689</v>
      </c>
      <c r="E114">
        <v>7</v>
      </c>
      <c r="F114" t="s">
        <v>219</v>
      </c>
      <c r="G114">
        <v>31</v>
      </c>
      <c r="H114" t="s">
        <v>21</v>
      </c>
      <c r="I114" t="s">
        <v>112</v>
      </c>
      <c r="J114" t="s">
        <v>17</v>
      </c>
      <c r="K114">
        <v>1100</v>
      </c>
      <c r="L114" t="s">
        <v>35</v>
      </c>
      <c r="M114">
        <v>250</v>
      </c>
    </row>
    <row r="115" spans="1:13" x14ac:dyDescent="0.3">
      <c r="A115">
        <v>114</v>
      </c>
      <c r="B115" t="s">
        <v>220</v>
      </c>
      <c r="C115" s="1">
        <v>44757</v>
      </c>
      <c r="D115" s="1">
        <v>44764</v>
      </c>
      <c r="E115">
        <v>7</v>
      </c>
      <c r="F115" t="s">
        <v>221</v>
      </c>
      <c r="G115">
        <v>27</v>
      </c>
      <c r="H115" t="s">
        <v>15</v>
      </c>
      <c r="I115" t="s">
        <v>106</v>
      </c>
      <c r="J115" t="s">
        <v>34</v>
      </c>
      <c r="K115">
        <v>1000</v>
      </c>
      <c r="L115" t="s">
        <v>222</v>
      </c>
      <c r="M115">
        <v>150</v>
      </c>
    </row>
    <row r="116" spans="1:13" x14ac:dyDescent="0.3">
      <c r="A116">
        <v>115</v>
      </c>
      <c r="B116" t="s">
        <v>186</v>
      </c>
      <c r="C116" s="1">
        <v>44798</v>
      </c>
      <c r="D116" s="1">
        <v>44803</v>
      </c>
      <c r="E116">
        <v>5</v>
      </c>
      <c r="F116" t="s">
        <v>223</v>
      </c>
      <c r="G116">
        <v>29</v>
      </c>
      <c r="H116" t="s">
        <v>21</v>
      </c>
      <c r="I116" t="s">
        <v>224</v>
      </c>
      <c r="J116" t="s">
        <v>17</v>
      </c>
      <c r="K116">
        <v>1500</v>
      </c>
      <c r="L116" t="s">
        <v>101</v>
      </c>
      <c r="M116">
        <v>300</v>
      </c>
    </row>
    <row r="117" spans="1:13" x14ac:dyDescent="0.3">
      <c r="A117">
        <v>116</v>
      </c>
      <c r="B117" t="s">
        <v>225</v>
      </c>
      <c r="C117" s="1">
        <v>44814</v>
      </c>
      <c r="D117" s="1">
        <v>44819</v>
      </c>
      <c r="E117">
        <v>5</v>
      </c>
      <c r="F117" t="s">
        <v>226</v>
      </c>
      <c r="G117">
        <v>33</v>
      </c>
      <c r="H117" t="s">
        <v>15</v>
      </c>
      <c r="I117" t="s">
        <v>227</v>
      </c>
      <c r="J117" t="s">
        <v>41</v>
      </c>
      <c r="K117">
        <v>200</v>
      </c>
      <c r="L117" t="s">
        <v>71</v>
      </c>
      <c r="M117">
        <v>500</v>
      </c>
    </row>
    <row r="118" spans="1:13" x14ac:dyDescent="0.3">
      <c r="A118">
        <v>117</v>
      </c>
      <c r="B118" t="s">
        <v>31</v>
      </c>
      <c r="C118" s="1">
        <v>44597</v>
      </c>
      <c r="D118" s="1">
        <v>44606</v>
      </c>
      <c r="E118">
        <v>9</v>
      </c>
      <c r="F118" t="s">
        <v>96</v>
      </c>
      <c r="G118">
        <v>32</v>
      </c>
      <c r="H118" t="s">
        <v>21</v>
      </c>
      <c r="I118" t="s">
        <v>16</v>
      </c>
      <c r="J118" t="s">
        <v>17</v>
      </c>
      <c r="K118">
        <v>1000</v>
      </c>
      <c r="L118" t="s">
        <v>71</v>
      </c>
      <c r="M118">
        <v>700</v>
      </c>
    </row>
    <row r="119" spans="1:13" x14ac:dyDescent="0.3">
      <c r="A119">
        <v>118</v>
      </c>
      <c r="B119" t="s">
        <v>36</v>
      </c>
      <c r="C119" s="1">
        <v>44635</v>
      </c>
      <c r="D119" s="1">
        <v>44642</v>
      </c>
      <c r="E119">
        <v>7</v>
      </c>
      <c r="F119" t="s">
        <v>98</v>
      </c>
      <c r="G119">
        <v>47</v>
      </c>
      <c r="H119" t="s">
        <v>15</v>
      </c>
      <c r="I119" t="s">
        <v>22</v>
      </c>
      <c r="J119" t="s">
        <v>17</v>
      </c>
      <c r="K119">
        <v>1200</v>
      </c>
      <c r="L119" t="s">
        <v>35</v>
      </c>
      <c r="M119">
        <v>500</v>
      </c>
    </row>
    <row r="120" spans="1:13" x14ac:dyDescent="0.3">
      <c r="A120">
        <v>119</v>
      </c>
      <c r="B120" t="s">
        <v>177</v>
      </c>
      <c r="C120" s="1">
        <v>44682</v>
      </c>
      <c r="D120" s="1">
        <v>44693</v>
      </c>
      <c r="E120">
        <v>11</v>
      </c>
      <c r="F120" t="s">
        <v>228</v>
      </c>
      <c r="G120">
        <v>26</v>
      </c>
      <c r="H120" t="s">
        <v>21</v>
      </c>
      <c r="I120" t="s">
        <v>59</v>
      </c>
      <c r="J120" t="s">
        <v>34</v>
      </c>
      <c r="K120">
        <v>800</v>
      </c>
      <c r="L120" t="s">
        <v>71</v>
      </c>
      <c r="M120">
        <v>1000</v>
      </c>
    </row>
    <row r="121" spans="1:13" x14ac:dyDescent="0.3">
      <c r="A121">
        <v>120</v>
      </c>
      <c r="B121" t="s">
        <v>144</v>
      </c>
      <c r="C121" s="1">
        <v>44722</v>
      </c>
      <c r="D121" s="1">
        <v>44729</v>
      </c>
      <c r="E121">
        <v>7</v>
      </c>
      <c r="F121" t="s">
        <v>25</v>
      </c>
      <c r="G121">
        <v>38</v>
      </c>
      <c r="H121" t="s">
        <v>15</v>
      </c>
      <c r="I121" t="s">
        <v>26</v>
      </c>
      <c r="J121" t="s">
        <v>17</v>
      </c>
      <c r="K121">
        <v>900</v>
      </c>
      <c r="L121" t="s">
        <v>35</v>
      </c>
      <c r="M121">
        <v>400</v>
      </c>
    </row>
    <row r="122" spans="1:13" x14ac:dyDescent="0.3">
      <c r="A122">
        <v>121</v>
      </c>
      <c r="B122" t="s">
        <v>24</v>
      </c>
      <c r="C122" s="1">
        <v>44762</v>
      </c>
      <c r="D122" s="1">
        <v>44772</v>
      </c>
      <c r="E122">
        <v>10</v>
      </c>
      <c r="F122" t="s">
        <v>229</v>
      </c>
      <c r="G122">
        <v>29</v>
      </c>
      <c r="H122" t="s">
        <v>21</v>
      </c>
      <c r="I122" t="s">
        <v>26</v>
      </c>
      <c r="J122" t="s">
        <v>41</v>
      </c>
      <c r="K122">
        <v>500</v>
      </c>
      <c r="L122" t="s">
        <v>71</v>
      </c>
      <c r="M122">
        <v>800</v>
      </c>
    </row>
    <row r="123" spans="1:13" x14ac:dyDescent="0.3">
      <c r="A123">
        <v>122</v>
      </c>
      <c r="B123" t="s">
        <v>51</v>
      </c>
      <c r="C123" s="1">
        <v>44781</v>
      </c>
      <c r="D123" s="1">
        <v>44789</v>
      </c>
      <c r="E123">
        <v>8</v>
      </c>
      <c r="F123" t="s">
        <v>230</v>
      </c>
      <c r="G123">
        <v>41</v>
      </c>
      <c r="H123" t="s">
        <v>15</v>
      </c>
      <c r="I123" t="s">
        <v>16</v>
      </c>
      <c r="J123" t="s">
        <v>17</v>
      </c>
      <c r="K123">
        <v>1300</v>
      </c>
      <c r="L123" t="s">
        <v>71</v>
      </c>
      <c r="M123">
        <v>600</v>
      </c>
    </row>
    <row r="124" spans="1:13" x14ac:dyDescent="0.3">
      <c r="A124">
        <v>123</v>
      </c>
      <c r="B124" t="s">
        <v>231</v>
      </c>
      <c r="C124" s="1">
        <v>44824</v>
      </c>
      <c r="D124" s="1">
        <v>44834</v>
      </c>
      <c r="E124">
        <v>10</v>
      </c>
      <c r="F124" t="s">
        <v>232</v>
      </c>
      <c r="G124">
        <v>35</v>
      </c>
      <c r="H124" t="s">
        <v>21</v>
      </c>
      <c r="I124" t="s">
        <v>26</v>
      </c>
      <c r="J124" t="s">
        <v>34</v>
      </c>
      <c r="K124">
        <v>700</v>
      </c>
      <c r="L124" t="s">
        <v>71</v>
      </c>
      <c r="M124">
        <v>900</v>
      </c>
    </row>
    <row r="125" spans="1:13" x14ac:dyDescent="0.3">
      <c r="A125">
        <v>124</v>
      </c>
      <c r="B125" t="s">
        <v>31</v>
      </c>
      <c r="C125" s="1">
        <v>44839</v>
      </c>
      <c r="D125" s="1">
        <v>44847</v>
      </c>
      <c r="E125">
        <v>8</v>
      </c>
      <c r="F125" t="s">
        <v>233</v>
      </c>
      <c r="G125">
        <v>24</v>
      </c>
      <c r="H125" t="s">
        <v>15</v>
      </c>
      <c r="I125" t="s">
        <v>26</v>
      </c>
      <c r="J125" t="s">
        <v>17</v>
      </c>
      <c r="K125">
        <v>1200</v>
      </c>
      <c r="L125" t="s">
        <v>71</v>
      </c>
      <c r="M125">
        <v>700</v>
      </c>
    </row>
    <row r="126" spans="1:13" x14ac:dyDescent="0.3">
      <c r="A126">
        <v>125</v>
      </c>
      <c r="B126" t="s">
        <v>177</v>
      </c>
      <c r="C126" s="1">
        <v>44876</v>
      </c>
      <c r="D126" s="1">
        <v>44886</v>
      </c>
      <c r="E126">
        <v>10</v>
      </c>
      <c r="F126" t="s">
        <v>234</v>
      </c>
      <c r="G126">
        <v>30</v>
      </c>
      <c r="H126" t="s">
        <v>21</v>
      </c>
      <c r="I126" t="s">
        <v>59</v>
      </c>
      <c r="J126" t="s">
        <v>34</v>
      </c>
      <c r="K126">
        <v>900</v>
      </c>
      <c r="L126" t="s">
        <v>71</v>
      </c>
      <c r="M126">
        <v>1000</v>
      </c>
    </row>
    <row r="127" spans="1:13" x14ac:dyDescent="0.3">
      <c r="A127">
        <v>126</v>
      </c>
      <c r="B127" t="s">
        <v>36</v>
      </c>
      <c r="C127" s="1">
        <v>44919</v>
      </c>
      <c r="D127" s="1">
        <v>44927</v>
      </c>
      <c r="E127">
        <v>8</v>
      </c>
      <c r="F127" t="s">
        <v>235</v>
      </c>
      <c r="G127">
        <v>28</v>
      </c>
      <c r="H127" t="s">
        <v>15</v>
      </c>
      <c r="I127" t="s">
        <v>16</v>
      </c>
      <c r="J127" t="s">
        <v>41</v>
      </c>
      <c r="K127">
        <v>400</v>
      </c>
      <c r="L127" t="s">
        <v>71</v>
      </c>
      <c r="M127">
        <v>700</v>
      </c>
    </row>
    <row r="128" spans="1:13" x14ac:dyDescent="0.3">
      <c r="A128">
        <v>127</v>
      </c>
      <c r="B128" t="s">
        <v>24</v>
      </c>
      <c r="C128" s="1">
        <v>44967</v>
      </c>
      <c r="D128" s="1">
        <v>44975</v>
      </c>
      <c r="E128">
        <v>8</v>
      </c>
      <c r="F128" t="s">
        <v>236</v>
      </c>
      <c r="G128">
        <v>33</v>
      </c>
      <c r="H128" t="s">
        <v>21</v>
      </c>
      <c r="I128" t="s">
        <v>22</v>
      </c>
      <c r="J128" t="s">
        <v>17</v>
      </c>
      <c r="K128">
        <v>800</v>
      </c>
      <c r="L128" t="s">
        <v>71</v>
      </c>
      <c r="M128">
        <v>800</v>
      </c>
    </row>
    <row r="129" spans="1:13" x14ac:dyDescent="0.3">
      <c r="A129">
        <v>128</v>
      </c>
    </row>
    <row r="130" spans="1:13" x14ac:dyDescent="0.3">
      <c r="A130">
        <v>129</v>
      </c>
      <c r="B130" t="s">
        <v>36</v>
      </c>
      <c r="C130" s="1">
        <v>45047</v>
      </c>
      <c r="D130" s="1">
        <v>45053</v>
      </c>
      <c r="E130">
        <v>6</v>
      </c>
      <c r="F130" t="s">
        <v>237</v>
      </c>
      <c r="G130">
        <v>35</v>
      </c>
      <c r="H130" t="s">
        <v>15</v>
      </c>
      <c r="I130" t="s">
        <v>16</v>
      </c>
      <c r="J130" t="s">
        <v>17</v>
      </c>
      <c r="K130">
        <v>5000</v>
      </c>
      <c r="L130" t="s">
        <v>238</v>
      </c>
      <c r="M130">
        <v>2500</v>
      </c>
    </row>
    <row r="131" spans="1:13" x14ac:dyDescent="0.3">
      <c r="A131">
        <v>130</v>
      </c>
      <c r="B131" t="s">
        <v>31</v>
      </c>
      <c r="C131" s="1">
        <v>45061</v>
      </c>
      <c r="D131" s="1">
        <v>45068</v>
      </c>
      <c r="E131">
        <v>7</v>
      </c>
      <c r="F131" t="s">
        <v>239</v>
      </c>
      <c r="G131">
        <v>28</v>
      </c>
      <c r="H131" t="s">
        <v>21</v>
      </c>
      <c r="I131" t="s">
        <v>30</v>
      </c>
      <c r="J131" t="s">
        <v>34</v>
      </c>
      <c r="K131">
        <v>7000</v>
      </c>
      <c r="L131" t="s">
        <v>35</v>
      </c>
      <c r="M131">
        <v>1500</v>
      </c>
    </row>
    <row r="132" spans="1:13" x14ac:dyDescent="0.3">
      <c r="A132">
        <v>131</v>
      </c>
      <c r="B132" t="s">
        <v>240</v>
      </c>
      <c r="C132" s="1">
        <v>45078</v>
      </c>
      <c r="D132" s="1">
        <v>45087</v>
      </c>
      <c r="E132">
        <v>9</v>
      </c>
      <c r="F132" t="s">
        <v>241</v>
      </c>
      <c r="G132">
        <v>45</v>
      </c>
      <c r="H132" t="s">
        <v>15</v>
      </c>
      <c r="I132" t="s">
        <v>169</v>
      </c>
      <c r="J132" t="s">
        <v>41</v>
      </c>
      <c r="K132">
        <v>3000</v>
      </c>
      <c r="L132" t="s">
        <v>172</v>
      </c>
      <c r="M132">
        <v>2000</v>
      </c>
    </row>
    <row r="133" spans="1:13" x14ac:dyDescent="0.3">
      <c r="A133">
        <v>132</v>
      </c>
      <c r="B133" t="s">
        <v>38</v>
      </c>
      <c r="C133" s="1">
        <v>45092</v>
      </c>
      <c r="D133" s="1">
        <v>45098</v>
      </c>
      <c r="E133">
        <v>6</v>
      </c>
      <c r="F133" t="s">
        <v>158</v>
      </c>
      <c r="G133">
        <v>31</v>
      </c>
      <c r="H133" t="s">
        <v>21</v>
      </c>
      <c r="I133" t="s">
        <v>40</v>
      </c>
      <c r="J133" t="s">
        <v>17</v>
      </c>
      <c r="K133">
        <v>6000</v>
      </c>
      <c r="L133" t="s">
        <v>238</v>
      </c>
      <c r="M133">
        <v>3000</v>
      </c>
    </row>
    <row r="134" spans="1:13" x14ac:dyDescent="0.3">
      <c r="A134">
        <v>133</v>
      </c>
      <c r="B134" t="s">
        <v>144</v>
      </c>
      <c r="C134" s="1">
        <v>45108</v>
      </c>
      <c r="D134" s="1">
        <v>45115</v>
      </c>
      <c r="E134">
        <v>7</v>
      </c>
      <c r="F134" t="s">
        <v>92</v>
      </c>
      <c r="G134">
        <v>42</v>
      </c>
      <c r="H134" t="s">
        <v>15</v>
      </c>
      <c r="I134" t="s">
        <v>26</v>
      </c>
      <c r="J134" t="s">
        <v>34</v>
      </c>
      <c r="K134">
        <v>4000</v>
      </c>
      <c r="L134" t="s">
        <v>35</v>
      </c>
      <c r="M134">
        <v>1500</v>
      </c>
    </row>
    <row r="135" spans="1:13" x14ac:dyDescent="0.3">
      <c r="A135">
        <v>134</v>
      </c>
      <c r="B135" t="s">
        <v>123</v>
      </c>
      <c r="C135" s="1">
        <v>45122</v>
      </c>
      <c r="D135" s="1">
        <v>45129</v>
      </c>
      <c r="E135">
        <v>7</v>
      </c>
      <c r="F135" t="s">
        <v>39</v>
      </c>
      <c r="G135">
        <v>27</v>
      </c>
      <c r="H135" t="s">
        <v>21</v>
      </c>
      <c r="I135" t="s">
        <v>16</v>
      </c>
      <c r="J135" t="s">
        <v>17</v>
      </c>
      <c r="K135">
        <v>8000</v>
      </c>
      <c r="L135" t="s">
        <v>238</v>
      </c>
      <c r="M135">
        <v>2500</v>
      </c>
    </row>
    <row r="136" spans="1:13" x14ac:dyDescent="0.3">
      <c r="A136">
        <v>135</v>
      </c>
      <c r="B136" t="s">
        <v>42</v>
      </c>
      <c r="C136" s="1">
        <v>45139</v>
      </c>
      <c r="D136" s="1">
        <v>45148</v>
      </c>
      <c r="E136">
        <v>9</v>
      </c>
      <c r="F136" t="s">
        <v>242</v>
      </c>
      <c r="G136">
        <v>37</v>
      </c>
      <c r="H136" t="s">
        <v>15</v>
      </c>
      <c r="I136" t="s">
        <v>44</v>
      </c>
      <c r="J136" t="s">
        <v>41</v>
      </c>
      <c r="K136">
        <v>2500</v>
      </c>
      <c r="L136" t="s">
        <v>172</v>
      </c>
      <c r="M136">
        <v>2000</v>
      </c>
    </row>
    <row r="137" spans="1:13" x14ac:dyDescent="0.3">
      <c r="A137">
        <v>136</v>
      </c>
      <c r="B137" t="s">
        <v>127</v>
      </c>
      <c r="C137" s="1">
        <v>45153</v>
      </c>
      <c r="D137" s="1">
        <v>45159</v>
      </c>
      <c r="E137">
        <v>6</v>
      </c>
      <c r="F137" t="s">
        <v>243</v>
      </c>
      <c r="G137">
        <v>29</v>
      </c>
      <c r="H137" t="s">
        <v>21</v>
      </c>
      <c r="I137" t="s">
        <v>22</v>
      </c>
      <c r="J137" t="s">
        <v>17</v>
      </c>
      <c r="K137">
        <v>5000</v>
      </c>
      <c r="L137" t="s">
        <v>238</v>
      </c>
      <c r="M137">
        <v>3000</v>
      </c>
    </row>
    <row r="138" spans="1:13" x14ac:dyDescent="0.3">
      <c r="A138">
        <v>137</v>
      </c>
      <c r="B138" t="s">
        <v>125</v>
      </c>
      <c r="C138" s="1">
        <v>45170</v>
      </c>
      <c r="D138" s="1">
        <v>45177</v>
      </c>
      <c r="E138">
        <v>7</v>
      </c>
      <c r="F138" t="s">
        <v>244</v>
      </c>
      <c r="G138">
        <v>34</v>
      </c>
      <c r="H138" t="s">
        <v>15</v>
      </c>
      <c r="I138" t="s">
        <v>59</v>
      </c>
      <c r="J138" t="s">
        <v>41</v>
      </c>
      <c r="K138">
        <v>2000</v>
      </c>
      <c r="L138" t="s">
        <v>35</v>
      </c>
      <c r="M138">
        <v>1000</v>
      </c>
    </row>
    <row r="139" spans="1:13" x14ac:dyDescent="0.3">
      <c r="A139">
        <v>138</v>
      </c>
      <c r="B139" t="s">
        <v>54</v>
      </c>
      <c r="C139" s="1">
        <v>45184</v>
      </c>
      <c r="D139" s="1">
        <v>45191</v>
      </c>
      <c r="E139">
        <v>7</v>
      </c>
      <c r="F139" t="s">
        <v>245</v>
      </c>
      <c r="G139">
        <v>25</v>
      </c>
      <c r="H139" t="s">
        <v>21</v>
      </c>
      <c r="I139" t="s">
        <v>56</v>
      </c>
      <c r="J139" t="s">
        <v>34</v>
      </c>
      <c r="K139">
        <v>6000</v>
      </c>
      <c r="L139" t="s">
        <v>238</v>
      </c>
      <c r="M139">
        <v>2500</v>
      </c>
    </row>
    <row r="140" spans="1:13" x14ac:dyDescent="0.3">
      <c r="A140">
        <v>139</v>
      </c>
      <c r="B140" t="s">
        <v>246</v>
      </c>
      <c r="C140" s="1">
        <v>45200</v>
      </c>
      <c r="D140" s="1">
        <v>45207</v>
      </c>
      <c r="E140">
        <v>7</v>
      </c>
      <c r="F140" t="s">
        <v>247</v>
      </c>
      <c r="G140">
        <v>39</v>
      </c>
      <c r="H140" t="s">
        <v>15</v>
      </c>
      <c r="I140" t="s">
        <v>248</v>
      </c>
      <c r="J140" t="s">
        <v>17</v>
      </c>
      <c r="K140">
        <v>7000</v>
      </c>
      <c r="L140" t="s">
        <v>35</v>
      </c>
      <c r="M140">
        <v>2500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D2172-A888-42A4-9228-9DC095FC5B7C}">
  <sheetPr codeName="Sheet12"/>
  <dimension ref="A1:F62"/>
  <sheetViews>
    <sheetView workbookViewId="0">
      <selection activeCell="A22" sqref="A22"/>
    </sheetView>
  </sheetViews>
  <sheetFormatPr defaultRowHeight="14.4" x14ac:dyDescent="0.3"/>
  <cols>
    <col min="1" max="1" width="27.44140625" bestFit="1" customWidth="1"/>
    <col min="2" max="2" width="24" bestFit="1" customWidth="1"/>
    <col min="3" max="3" width="25.77734375" bestFit="1" customWidth="1"/>
    <col min="4" max="4" width="28.6640625" bestFit="1" customWidth="1"/>
    <col min="5" max="5" width="23.77734375" bestFit="1" customWidth="1"/>
    <col min="6" max="6" width="37.21875" bestFit="1" customWidth="1"/>
  </cols>
  <sheetData>
    <row r="1" spans="1:6" x14ac:dyDescent="0.3">
      <c r="A1" t="s">
        <v>551</v>
      </c>
      <c r="B1" t="s">
        <v>552</v>
      </c>
      <c r="C1" t="s">
        <v>553</v>
      </c>
      <c r="D1" t="s">
        <v>554</v>
      </c>
      <c r="E1" t="s">
        <v>555</v>
      </c>
      <c r="F1" t="s">
        <v>556</v>
      </c>
    </row>
    <row r="2" spans="1:6" x14ac:dyDescent="0.3">
      <c r="A2" t="s">
        <v>287</v>
      </c>
      <c r="B2" t="s">
        <v>288</v>
      </c>
      <c r="C2" t="s">
        <v>289</v>
      </c>
      <c r="D2" t="s">
        <v>557</v>
      </c>
      <c r="E2" t="s">
        <v>290</v>
      </c>
      <c r="F2" t="s">
        <v>558</v>
      </c>
    </row>
    <row r="3" spans="1:6" x14ac:dyDescent="0.3">
      <c r="A3" t="s">
        <v>291</v>
      </c>
      <c r="B3" t="s">
        <v>292</v>
      </c>
      <c r="C3" t="s">
        <v>293</v>
      </c>
      <c r="D3" t="s">
        <v>294</v>
      </c>
      <c r="E3" t="s">
        <v>295</v>
      </c>
      <c r="F3" t="s">
        <v>296</v>
      </c>
    </row>
    <row r="4" spans="1:6" x14ac:dyDescent="0.3">
      <c r="A4" t="s">
        <v>297</v>
      </c>
      <c r="B4" t="s">
        <v>298</v>
      </c>
      <c r="C4" t="s">
        <v>299</v>
      </c>
      <c r="D4" t="s">
        <v>102</v>
      </c>
      <c r="E4" t="s">
        <v>300</v>
      </c>
      <c r="F4" t="s">
        <v>301</v>
      </c>
    </row>
    <row r="5" spans="1:6" x14ac:dyDescent="0.3">
      <c r="A5" t="s">
        <v>302</v>
      </c>
      <c r="B5" t="s">
        <v>303</v>
      </c>
      <c r="C5" t="s">
        <v>304</v>
      </c>
      <c r="D5" t="s">
        <v>305</v>
      </c>
      <c r="E5" t="s">
        <v>306</v>
      </c>
      <c r="F5" t="s">
        <v>307</v>
      </c>
    </row>
    <row r="6" spans="1:6" x14ac:dyDescent="0.3">
      <c r="A6" t="s">
        <v>308</v>
      </c>
      <c r="B6" t="s">
        <v>309</v>
      </c>
      <c r="C6" t="s">
        <v>310</v>
      </c>
      <c r="D6" t="s">
        <v>311</v>
      </c>
      <c r="E6" t="s">
        <v>312</v>
      </c>
      <c r="F6" t="s">
        <v>313</v>
      </c>
    </row>
    <row r="7" spans="1:6" x14ac:dyDescent="0.3">
      <c r="A7" t="s">
        <v>314</v>
      </c>
      <c r="B7" t="s">
        <v>315</v>
      </c>
      <c r="C7" t="s">
        <v>316</v>
      </c>
      <c r="D7" t="s">
        <v>317</v>
      </c>
      <c r="E7" t="s">
        <v>318</v>
      </c>
      <c r="F7" t="s">
        <v>104</v>
      </c>
    </row>
    <row r="8" spans="1:6" x14ac:dyDescent="0.3">
      <c r="A8" t="s">
        <v>319</v>
      </c>
      <c r="B8" t="s">
        <v>320</v>
      </c>
      <c r="C8" t="s">
        <v>321</v>
      </c>
      <c r="D8" t="s">
        <v>322</v>
      </c>
      <c r="E8" t="s">
        <v>323</v>
      </c>
      <c r="F8" t="s">
        <v>324</v>
      </c>
    </row>
    <row r="9" spans="1:6" x14ac:dyDescent="0.3">
      <c r="A9" t="s">
        <v>325</v>
      </c>
      <c r="B9" t="s">
        <v>326</v>
      </c>
      <c r="C9" t="s">
        <v>227</v>
      </c>
      <c r="D9" t="s">
        <v>327</v>
      </c>
      <c r="E9" t="s">
        <v>328</v>
      </c>
      <c r="F9" t="s">
        <v>329</v>
      </c>
    </row>
    <row r="10" spans="1:6" x14ac:dyDescent="0.3">
      <c r="A10" t="s">
        <v>330</v>
      </c>
      <c r="B10" t="s">
        <v>331</v>
      </c>
      <c r="C10" t="s">
        <v>202</v>
      </c>
      <c r="D10" t="s">
        <v>332</v>
      </c>
      <c r="E10" t="s">
        <v>333</v>
      </c>
      <c r="F10" t="s">
        <v>334</v>
      </c>
    </row>
    <row r="11" spans="1:6" x14ac:dyDescent="0.3">
      <c r="A11" t="s">
        <v>335</v>
      </c>
      <c r="B11" t="s">
        <v>336</v>
      </c>
      <c r="C11" t="s">
        <v>337</v>
      </c>
      <c r="D11" t="s">
        <v>338</v>
      </c>
      <c r="E11" t="s">
        <v>339</v>
      </c>
      <c r="F11" t="s">
        <v>340</v>
      </c>
    </row>
    <row r="12" spans="1:6" x14ac:dyDescent="0.3">
      <c r="A12" t="s">
        <v>341</v>
      </c>
      <c r="B12" t="s">
        <v>342</v>
      </c>
      <c r="C12" t="s">
        <v>343</v>
      </c>
      <c r="D12" t="s">
        <v>344</v>
      </c>
      <c r="E12" t="s">
        <v>116</v>
      </c>
      <c r="F12" t="s">
        <v>345</v>
      </c>
    </row>
    <row r="13" spans="1:6" x14ac:dyDescent="0.3">
      <c r="A13" t="s">
        <v>346</v>
      </c>
      <c r="B13" t="s">
        <v>347</v>
      </c>
      <c r="C13" t="s">
        <v>281</v>
      </c>
      <c r="D13" t="s">
        <v>348</v>
      </c>
      <c r="E13" t="s">
        <v>349</v>
      </c>
      <c r="F13" t="s">
        <v>350</v>
      </c>
    </row>
    <row r="14" spans="1:6" x14ac:dyDescent="0.3">
      <c r="A14" t="s">
        <v>351</v>
      </c>
      <c r="B14" t="s">
        <v>352</v>
      </c>
      <c r="C14" t="s">
        <v>353</v>
      </c>
      <c r="D14" t="s">
        <v>354</v>
      </c>
      <c r="E14" t="s">
        <v>355</v>
      </c>
      <c r="F14" t="s">
        <v>356</v>
      </c>
    </row>
    <row r="15" spans="1:6" x14ac:dyDescent="0.3">
      <c r="A15" t="s">
        <v>357</v>
      </c>
      <c r="B15" t="s">
        <v>358</v>
      </c>
      <c r="C15" t="s">
        <v>359</v>
      </c>
      <c r="D15" t="s">
        <v>360</v>
      </c>
      <c r="E15" t="s">
        <v>361</v>
      </c>
      <c r="F15" t="s">
        <v>362</v>
      </c>
    </row>
    <row r="16" spans="1:6" x14ac:dyDescent="0.3">
      <c r="A16" t="s">
        <v>363</v>
      </c>
      <c r="B16" t="s">
        <v>364</v>
      </c>
      <c r="C16" t="s">
        <v>365</v>
      </c>
      <c r="D16" t="s">
        <v>366</v>
      </c>
      <c r="E16" t="s">
        <v>367</v>
      </c>
      <c r="F16" t="s">
        <v>368</v>
      </c>
    </row>
    <row r="17" spans="1:6" x14ac:dyDescent="0.3">
      <c r="A17" t="s">
        <v>284</v>
      </c>
      <c r="B17" t="s">
        <v>369</v>
      </c>
      <c r="E17" t="s">
        <v>91</v>
      </c>
      <c r="F17" t="s">
        <v>370</v>
      </c>
    </row>
    <row r="18" spans="1:6" x14ac:dyDescent="0.3">
      <c r="A18" t="s">
        <v>371</v>
      </c>
      <c r="B18" t="s">
        <v>372</v>
      </c>
      <c r="C18" t="s">
        <v>95</v>
      </c>
      <c r="D18" t="s">
        <v>285</v>
      </c>
      <c r="E18" t="s">
        <v>373</v>
      </c>
      <c r="F18" t="s">
        <v>374</v>
      </c>
    </row>
    <row r="19" spans="1:6" x14ac:dyDescent="0.3">
      <c r="A19" t="s">
        <v>375</v>
      </c>
      <c r="B19" t="s">
        <v>108</v>
      </c>
      <c r="C19" t="s">
        <v>376</v>
      </c>
      <c r="D19" t="s">
        <v>377</v>
      </c>
      <c r="E19" t="s">
        <v>378</v>
      </c>
      <c r="F19" t="s">
        <v>379</v>
      </c>
    </row>
    <row r="20" spans="1:6" x14ac:dyDescent="0.3">
      <c r="A20" t="s">
        <v>99</v>
      </c>
      <c r="B20" t="s">
        <v>380</v>
      </c>
      <c r="C20" t="s">
        <v>381</v>
      </c>
      <c r="D20" t="s">
        <v>382</v>
      </c>
      <c r="E20" t="s">
        <v>383</v>
      </c>
      <c r="F20" t="s">
        <v>384</v>
      </c>
    </row>
    <row r="21" spans="1:6" x14ac:dyDescent="0.3">
      <c r="A21" t="s">
        <v>385</v>
      </c>
      <c r="B21" t="s">
        <v>386</v>
      </c>
      <c r="C21" t="s">
        <v>387</v>
      </c>
      <c r="D21" t="s">
        <v>388</v>
      </c>
      <c r="E21" t="s">
        <v>389</v>
      </c>
    </row>
    <row r="22" spans="1:6" x14ac:dyDescent="0.3">
      <c r="A22" t="s">
        <v>211</v>
      </c>
      <c r="B22" t="s">
        <v>390</v>
      </c>
      <c r="C22" t="s">
        <v>391</v>
      </c>
      <c r="D22" t="s">
        <v>392</v>
      </c>
      <c r="E22" t="s">
        <v>393</v>
      </c>
    </row>
    <row r="23" spans="1:6" x14ac:dyDescent="0.3">
      <c r="A23" t="s">
        <v>394</v>
      </c>
      <c r="B23" t="s">
        <v>395</v>
      </c>
      <c r="C23" t="s">
        <v>396</v>
      </c>
      <c r="D23" t="s">
        <v>397</v>
      </c>
      <c r="E23" t="s">
        <v>398</v>
      </c>
    </row>
    <row r="24" spans="1:6" x14ac:dyDescent="0.3">
      <c r="A24" t="s">
        <v>106</v>
      </c>
      <c r="B24" t="s">
        <v>399</v>
      </c>
      <c r="C24" t="s">
        <v>400</v>
      </c>
      <c r="D24" t="s">
        <v>401</v>
      </c>
      <c r="E24" t="s">
        <v>402</v>
      </c>
    </row>
    <row r="25" spans="1:6" x14ac:dyDescent="0.3">
      <c r="A25" t="s">
        <v>403</v>
      </c>
      <c r="B25" t="s">
        <v>404</v>
      </c>
      <c r="C25" t="s">
        <v>405</v>
      </c>
      <c r="D25" t="s">
        <v>406</v>
      </c>
      <c r="E25" t="s">
        <v>407</v>
      </c>
    </row>
    <row r="26" spans="1:6" x14ac:dyDescent="0.3">
      <c r="A26" t="s">
        <v>408</v>
      </c>
      <c r="B26" t="s">
        <v>409</v>
      </c>
      <c r="C26" t="s">
        <v>410</v>
      </c>
      <c r="D26" t="s">
        <v>411</v>
      </c>
      <c r="E26" t="s">
        <v>412</v>
      </c>
    </row>
    <row r="27" spans="1:6" x14ac:dyDescent="0.3">
      <c r="A27" t="s">
        <v>112</v>
      </c>
      <c r="B27" t="s">
        <v>413</v>
      </c>
      <c r="C27" t="s">
        <v>414</v>
      </c>
      <c r="D27" t="s">
        <v>415</v>
      </c>
      <c r="E27" t="s">
        <v>416</v>
      </c>
    </row>
    <row r="28" spans="1:6" x14ac:dyDescent="0.3">
      <c r="A28" t="s">
        <v>417</v>
      </c>
      <c r="B28" t="s">
        <v>418</v>
      </c>
      <c r="C28" t="s">
        <v>419</v>
      </c>
      <c r="D28" t="s">
        <v>420</v>
      </c>
      <c r="E28" t="s">
        <v>110</v>
      </c>
    </row>
    <row r="29" spans="1:6" x14ac:dyDescent="0.3">
      <c r="A29" t="s">
        <v>421</v>
      </c>
      <c r="B29" t="s">
        <v>422</v>
      </c>
      <c r="C29" t="s">
        <v>423</v>
      </c>
      <c r="D29" t="s">
        <v>424</v>
      </c>
      <c r="E29" t="s">
        <v>425</v>
      </c>
    </row>
    <row r="30" spans="1:6" x14ac:dyDescent="0.3">
      <c r="A30" t="s">
        <v>426</v>
      </c>
      <c r="B30" t="s">
        <v>427</v>
      </c>
      <c r="C30" t="s">
        <v>428</v>
      </c>
      <c r="D30" t="s">
        <v>429</v>
      </c>
      <c r="E30" t="s">
        <v>430</v>
      </c>
    </row>
    <row r="31" spans="1:6" x14ac:dyDescent="0.3">
      <c r="A31" t="s">
        <v>431</v>
      </c>
      <c r="B31" t="s">
        <v>432</v>
      </c>
      <c r="C31" t="s">
        <v>433</v>
      </c>
      <c r="D31" t="s">
        <v>434</v>
      </c>
      <c r="E31" t="s">
        <v>435</v>
      </c>
    </row>
    <row r="32" spans="1:6" x14ac:dyDescent="0.3">
      <c r="A32" t="s">
        <v>436</v>
      </c>
      <c r="B32" t="s">
        <v>437</v>
      </c>
      <c r="C32" t="s">
        <v>438</v>
      </c>
      <c r="D32" t="s">
        <v>439</v>
      </c>
      <c r="E32" t="s">
        <v>440</v>
      </c>
    </row>
    <row r="33" spans="1:5" x14ac:dyDescent="0.3">
      <c r="A33" t="s">
        <v>441</v>
      </c>
      <c r="B33" t="s">
        <v>442</v>
      </c>
      <c r="C33" t="s">
        <v>443</v>
      </c>
      <c r="E33" t="s">
        <v>444</v>
      </c>
    </row>
    <row r="34" spans="1:5" x14ac:dyDescent="0.3">
      <c r="A34" t="s">
        <v>445</v>
      </c>
      <c r="B34" t="s">
        <v>446</v>
      </c>
      <c r="C34" t="s">
        <v>447</v>
      </c>
      <c r="E34" t="s">
        <v>448</v>
      </c>
    </row>
    <row r="35" spans="1:5" x14ac:dyDescent="0.3">
      <c r="A35" t="s">
        <v>449</v>
      </c>
      <c r="B35" t="s">
        <v>450</v>
      </c>
      <c r="C35" t="s">
        <v>451</v>
      </c>
      <c r="E35" t="s">
        <v>452</v>
      </c>
    </row>
    <row r="36" spans="1:5" x14ac:dyDescent="0.3">
      <c r="A36" t="s">
        <v>282</v>
      </c>
      <c r="B36" t="s">
        <v>453</v>
      </c>
      <c r="C36" t="s">
        <v>199</v>
      </c>
      <c r="E36" t="s">
        <v>454</v>
      </c>
    </row>
    <row r="37" spans="1:5" x14ac:dyDescent="0.3">
      <c r="A37" t="s">
        <v>455</v>
      </c>
      <c r="B37" t="s">
        <v>456</v>
      </c>
      <c r="C37" t="s">
        <v>457</v>
      </c>
      <c r="E37" t="s">
        <v>458</v>
      </c>
    </row>
    <row r="38" spans="1:5" x14ac:dyDescent="0.3">
      <c r="A38" t="s">
        <v>459</v>
      </c>
      <c r="B38" t="s">
        <v>460</v>
      </c>
      <c r="C38" t="s">
        <v>224</v>
      </c>
      <c r="E38" t="s">
        <v>461</v>
      </c>
    </row>
    <row r="39" spans="1:5" x14ac:dyDescent="0.3">
      <c r="A39" t="s">
        <v>462</v>
      </c>
      <c r="B39" t="s">
        <v>283</v>
      </c>
      <c r="C39" t="s">
        <v>218</v>
      </c>
      <c r="E39" t="s">
        <v>463</v>
      </c>
    </row>
    <row r="40" spans="1:5" x14ac:dyDescent="0.3">
      <c r="A40" t="s">
        <v>464</v>
      </c>
      <c r="B40" t="s">
        <v>465</v>
      </c>
      <c r="C40" t="s">
        <v>466</v>
      </c>
      <c r="E40" t="s">
        <v>467</v>
      </c>
    </row>
    <row r="41" spans="1:5" x14ac:dyDescent="0.3">
      <c r="A41" t="s">
        <v>468</v>
      </c>
      <c r="B41" t="s">
        <v>469</v>
      </c>
      <c r="C41" t="s">
        <v>470</v>
      </c>
      <c r="E41" t="s">
        <v>471</v>
      </c>
    </row>
    <row r="42" spans="1:5" x14ac:dyDescent="0.3">
      <c r="A42" t="s">
        <v>472</v>
      </c>
      <c r="B42" t="s">
        <v>473</v>
      </c>
      <c r="C42" t="s">
        <v>474</v>
      </c>
      <c r="E42" t="s">
        <v>475</v>
      </c>
    </row>
    <row r="43" spans="1:5" x14ac:dyDescent="0.3">
      <c r="A43" t="s">
        <v>476</v>
      </c>
      <c r="B43" t="s">
        <v>477</v>
      </c>
      <c r="C43" t="s">
        <v>478</v>
      </c>
      <c r="E43" t="s">
        <v>197</v>
      </c>
    </row>
    <row r="44" spans="1:5" x14ac:dyDescent="0.3">
      <c r="A44" t="s">
        <v>479</v>
      </c>
      <c r="B44" t="s">
        <v>480</v>
      </c>
      <c r="C44" t="s">
        <v>481</v>
      </c>
      <c r="E44" t="s">
        <v>482</v>
      </c>
    </row>
    <row r="45" spans="1:5" x14ac:dyDescent="0.3">
      <c r="A45" t="s">
        <v>483</v>
      </c>
      <c r="B45" t="s">
        <v>484</v>
      </c>
      <c r="C45" t="s">
        <v>97</v>
      </c>
    </row>
    <row r="46" spans="1:5" x14ac:dyDescent="0.3">
      <c r="A46" t="s">
        <v>485</v>
      </c>
      <c r="B46" t="s">
        <v>486</v>
      </c>
      <c r="C46" t="s">
        <v>487</v>
      </c>
    </row>
    <row r="47" spans="1:5" x14ac:dyDescent="0.3">
      <c r="A47" t="s">
        <v>488</v>
      </c>
      <c r="B47" t="s">
        <v>489</v>
      </c>
      <c r="C47" t="s">
        <v>490</v>
      </c>
    </row>
    <row r="48" spans="1:5" x14ac:dyDescent="0.3">
      <c r="A48" t="s">
        <v>491</v>
      </c>
      <c r="B48" t="s">
        <v>492</v>
      </c>
      <c r="C48" t="s">
        <v>493</v>
      </c>
    </row>
    <row r="49" spans="1:3" x14ac:dyDescent="0.3">
      <c r="A49" t="s">
        <v>114</v>
      </c>
      <c r="B49" t="s">
        <v>494</v>
      </c>
      <c r="C49" t="s">
        <v>495</v>
      </c>
    </row>
    <row r="50" spans="1:3" x14ac:dyDescent="0.3">
      <c r="A50" t="s">
        <v>496</v>
      </c>
      <c r="B50" t="s">
        <v>497</v>
      </c>
      <c r="C50" t="s">
        <v>498</v>
      </c>
    </row>
    <row r="51" spans="1:3" x14ac:dyDescent="0.3">
      <c r="A51" t="s">
        <v>499</v>
      </c>
      <c r="B51" t="s">
        <v>271</v>
      </c>
    </row>
    <row r="52" spans="1:3" x14ac:dyDescent="0.3">
      <c r="A52" t="s">
        <v>500</v>
      </c>
      <c r="B52" t="s">
        <v>501</v>
      </c>
    </row>
    <row r="53" spans="1:3" x14ac:dyDescent="0.3">
      <c r="A53" t="s">
        <v>502</v>
      </c>
      <c r="B53" t="s">
        <v>503</v>
      </c>
    </row>
    <row r="54" spans="1:3" x14ac:dyDescent="0.3">
      <c r="A54" t="s">
        <v>504</v>
      </c>
      <c r="B54" t="s">
        <v>505</v>
      </c>
    </row>
    <row r="55" spans="1:3" x14ac:dyDescent="0.3">
      <c r="A55" t="s">
        <v>215</v>
      </c>
      <c r="B55" t="s">
        <v>506</v>
      </c>
    </row>
    <row r="56" spans="1:3" x14ac:dyDescent="0.3">
      <c r="A56" t="s">
        <v>507</v>
      </c>
      <c r="B56" t="s">
        <v>508</v>
      </c>
    </row>
    <row r="57" spans="1:3" x14ac:dyDescent="0.3">
      <c r="B57" t="s">
        <v>509</v>
      </c>
    </row>
    <row r="58" spans="1:3" x14ac:dyDescent="0.3">
      <c r="B58" t="s">
        <v>510</v>
      </c>
    </row>
    <row r="59" spans="1:3" x14ac:dyDescent="0.3">
      <c r="B59" t="s">
        <v>511</v>
      </c>
    </row>
    <row r="60" spans="1:3" x14ac:dyDescent="0.3">
      <c r="B60" t="s">
        <v>512</v>
      </c>
    </row>
    <row r="61" spans="1:3" x14ac:dyDescent="0.3">
      <c r="B61" t="s">
        <v>513</v>
      </c>
    </row>
    <row r="62" spans="1:3" x14ac:dyDescent="0.3">
      <c r="B62" t="s">
        <v>514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2F552-0CCA-4B60-B5B3-842744671D69}">
  <sheetPr codeName="Sheet2"/>
  <dimension ref="A1:P138"/>
  <sheetViews>
    <sheetView workbookViewId="0">
      <selection activeCell="G2" sqref="G2"/>
    </sheetView>
  </sheetViews>
  <sheetFormatPr defaultRowHeight="14.4" x14ac:dyDescent="0.3"/>
  <cols>
    <col min="1" max="1" width="8.6640625" bestFit="1" customWidth="1"/>
    <col min="2" max="2" width="12.77734375" bestFit="1" customWidth="1"/>
    <col min="3" max="3" width="18.44140625" bestFit="1" customWidth="1"/>
    <col min="4" max="4" width="12.88671875" bestFit="1" customWidth="1"/>
    <col min="5" max="5" width="14.5546875" style="12" bestFit="1" customWidth="1"/>
    <col min="6" max="6" width="16.33203125" bestFit="1" customWidth="1"/>
    <col min="7" max="7" width="6.44140625" bestFit="1" customWidth="1"/>
    <col min="8" max="8" width="12.109375" bestFit="1" customWidth="1"/>
    <col min="9" max="9" width="9.33203125" bestFit="1" customWidth="1"/>
    <col min="10" max="10" width="18.44140625" bestFit="1" customWidth="1"/>
    <col min="11" max="11" width="21.6640625" style="3" bestFit="1" customWidth="1"/>
    <col min="12" max="12" width="24.109375" bestFit="1" customWidth="1"/>
    <col min="13" max="13" width="21.5546875" style="3" bestFit="1" customWidth="1"/>
    <col min="14" max="14" width="20.109375" style="3" bestFit="1" customWidth="1"/>
    <col min="15" max="15" width="24.21875" bestFit="1" customWidth="1"/>
    <col min="16" max="16" width="19.77734375" bestFit="1" customWidth="1"/>
  </cols>
  <sheetData>
    <row r="1" spans="1:16" x14ac:dyDescent="0.3">
      <c r="A1" t="s">
        <v>0</v>
      </c>
      <c r="B1" t="s">
        <v>1</v>
      </c>
      <c r="C1" t="s">
        <v>270</v>
      </c>
      <c r="D1" t="s">
        <v>517</v>
      </c>
      <c r="E1" s="12" t="s">
        <v>591</v>
      </c>
      <c r="F1" t="s">
        <v>4</v>
      </c>
      <c r="G1" t="s">
        <v>251</v>
      </c>
      <c r="H1" t="s">
        <v>286</v>
      </c>
      <c r="I1" t="s">
        <v>252</v>
      </c>
      <c r="J1" t="s">
        <v>253</v>
      </c>
      <c r="K1" t="s">
        <v>9</v>
      </c>
      <c r="L1" s="3" t="s">
        <v>277</v>
      </c>
      <c r="M1" s="3" t="s">
        <v>257</v>
      </c>
      <c r="N1" t="s">
        <v>11</v>
      </c>
      <c r="O1" s="3" t="s">
        <v>278</v>
      </c>
      <c r="P1" s="3" t="s">
        <v>12</v>
      </c>
    </row>
    <row r="2" spans="1:16" x14ac:dyDescent="0.3">
      <c r="A2">
        <v>1</v>
      </c>
      <c r="B2" t="s">
        <v>74</v>
      </c>
      <c r="C2" t="s">
        <v>200</v>
      </c>
      <c r="D2" t="str" cm="1">
        <f t="array" ref="D2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Europe</v>
      </c>
      <c r="E2" s="13">
        <v>45047</v>
      </c>
      <c r="F2">
        <v>7</v>
      </c>
      <c r="G2">
        <v>35</v>
      </c>
      <c r="H2" t="str" cm="1">
        <f t="array" ref="H2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2" t="s">
        <v>15</v>
      </c>
      <c r="J2" t="s">
        <v>16</v>
      </c>
      <c r="K2" t="s">
        <v>17</v>
      </c>
      <c r="L2" s="3">
        <v>171.42857142857142</v>
      </c>
      <c r="M2" s="3">
        <v>1200</v>
      </c>
      <c r="N2" t="s">
        <v>238</v>
      </c>
      <c r="O2" s="3">
        <v>85.714285714285708</v>
      </c>
      <c r="P2" s="3">
        <v>600</v>
      </c>
    </row>
    <row r="3" spans="1:16" x14ac:dyDescent="0.3">
      <c r="A3">
        <v>2</v>
      </c>
      <c r="B3" t="s">
        <v>216</v>
      </c>
      <c r="C3" t="s">
        <v>97</v>
      </c>
      <c r="D3" t="str" cm="1">
        <f t="array" ref="D3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Asia</v>
      </c>
      <c r="E3" s="13">
        <v>45092</v>
      </c>
      <c r="F3">
        <v>5</v>
      </c>
      <c r="G3">
        <v>28</v>
      </c>
      <c r="H3" t="str" cm="1">
        <f t="array" ref="H3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3" t="s">
        <v>21</v>
      </c>
      <c r="J3" t="s">
        <v>22</v>
      </c>
      <c r="K3" t="s">
        <v>23</v>
      </c>
      <c r="L3" s="3">
        <v>160</v>
      </c>
      <c r="M3" s="3">
        <v>800</v>
      </c>
      <c r="N3" t="s">
        <v>238</v>
      </c>
      <c r="O3" s="3">
        <v>100</v>
      </c>
      <c r="P3" s="3">
        <v>500</v>
      </c>
    </row>
    <row r="4" spans="1:16" x14ac:dyDescent="0.3">
      <c r="A4">
        <v>3</v>
      </c>
      <c r="B4" t="s">
        <v>72</v>
      </c>
      <c r="C4" t="s">
        <v>281</v>
      </c>
      <c r="D4" t="str" cm="1">
        <f t="array" ref="D4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Asia</v>
      </c>
      <c r="E4" s="13">
        <v>45108</v>
      </c>
      <c r="F4">
        <v>7</v>
      </c>
      <c r="G4">
        <v>45</v>
      </c>
      <c r="H4" t="str" cm="1">
        <f t="array" ref="H4">_xlfn.IFS(IF(OR(Table1[[#This Row],[Age]] &gt;= 17), Table1[[#This Row],[Age]] &lt; 30),"Young",IF(OR(Table1[[#This Row],[Age]] &gt;= 30), Table1[[#This Row],[Age]] &lt; 45),"Middle-Aged",Table1[[#This Row],[Age]] &gt;= 45,"Old")</f>
        <v>Old</v>
      </c>
      <c r="I4" t="s">
        <v>15</v>
      </c>
      <c r="J4" t="s">
        <v>26</v>
      </c>
      <c r="K4" t="s">
        <v>27</v>
      </c>
      <c r="L4" s="3">
        <v>142.85714285714286</v>
      </c>
      <c r="M4" s="3">
        <v>1000</v>
      </c>
      <c r="N4" t="s">
        <v>238</v>
      </c>
      <c r="O4" s="3">
        <v>100</v>
      </c>
      <c r="P4" s="3">
        <v>700</v>
      </c>
    </row>
    <row r="5" spans="1:16" x14ac:dyDescent="0.3">
      <c r="A5">
        <v>4</v>
      </c>
      <c r="B5" t="s">
        <v>79</v>
      </c>
      <c r="C5" t="s">
        <v>197</v>
      </c>
      <c r="D5" t="str" cm="1">
        <f t="array" ref="D5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North America</v>
      </c>
      <c r="E5" s="13">
        <v>45153</v>
      </c>
      <c r="F5">
        <v>14</v>
      </c>
      <c r="G5">
        <v>29</v>
      </c>
      <c r="H5" t="str" cm="1">
        <f t="array" ref="H5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5" t="s">
        <v>21</v>
      </c>
      <c r="J5" t="s">
        <v>30</v>
      </c>
      <c r="K5" t="s">
        <v>17</v>
      </c>
      <c r="L5" s="3">
        <v>142.85714285714286</v>
      </c>
      <c r="M5" s="3">
        <v>2000</v>
      </c>
      <c r="N5" t="s">
        <v>238</v>
      </c>
      <c r="O5" s="3">
        <v>71.428571428571431</v>
      </c>
      <c r="P5" s="3">
        <v>1000</v>
      </c>
    </row>
    <row r="6" spans="1:16" x14ac:dyDescent="0.3">
      <c r="A6">
        <v>5</v>
      </c>
      <c r="B6" t="s">
        <v>76</v>
      </c>
      <c r="C6" t="s">
        <v>95</v>
      </c>
      <c r="D6" t="str" cm="1">
        <f t="array" ref="D6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Asia</v>
      </c>
      <c r="E6" s="13">
        <v>45179</v>
      </c>
      <c r="F6">
        <v>7</v>
      </c>
      <c r="G6">
        <v>26</v>
      </c>
      <c r="H6" t="str" cm="1">
        <f t="array" ref="H6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6" t="s">
        <v>21</v>
      </c>
      <c r="J6" t="s">
        <v>33</v>
      </c>
      <c r="K6" t="s">
        <v>34</v>
      </c>
      <c r="L6" s="3">
        <v>100</v>
      </c>
      <c r="M6" s="3">
        <v>700</v>
      </c>
      <c r="N6" t="s">
        <v>141</v>
      </c>
      <c r="O6" s="3">
        <v>28.571428571428573</v>
      </c>
      <c r="P6" s="3">
        <v>200</v>
      </c>
    </row>
    <row r="7" spans="1:16" x14ac:dyDescent="0.3">
      <c r="A7">
        <v>6</v>
      </c>
      <c r="B7" t="s">
        <v>70</v>
      </c>
      <c r="C7" t="s">
        <v>99</v>
      </c>
      <c r="D7" t="str" cm="1">
        <f t="array" ref="D7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Europe</v>
      </c>
      <c r="E7" s="13">
        <v>45204</v>
      </c>
      <c r="F7">
        <v>5</v>
      </c>
      <c r="G7">
        <v>42</v>
      </c>
      <c r="H7" t="str" cm="1">
        <f t="array" ref="H7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7" t="s">
        <v>15</v>
      </c>
      <c r="J7" t="s">
        <v>16</v>
      </c>
      <c r="K7" t="s">
        <v>17</v>
      </c>
      <c r="L7" s="3">
        <v>300</v>
      </c>
      <c r="M7" s="3">
        <v>1500</v>
      </c>
      <c r="N7" t="s">
        <v>238</v>
      </c>
      <c r="O7" s="3">
        <v>160</v>
      </c>
      <c r="P7" s="3">
        <v>800</v>
      </c>
    </row>
    <row r="8" spans="1:16" x14ac:dyDescent="0.3">
      <c r="A8">
        <v>7</v>
      </c>
      <c r="B8" t="s">
        <v>82</v>
      </c>
      <c r="C8" t="s">
        <v>102</v>
      </c>
      <c r="D8" t="str" cm="1">
        <f t="array" ref="D8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Oceania</v>
      </c>
      <c r="E8" s="13">
        <v>45250</v>
      </c>
      <c r="F8">
        <v>10</v>
      </c>
      <c r="G8">
        <v>33</v>
      </c>
      <c r="H8" t="str" cm="1">
        <f t="array" ref="H8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8" t="s">
        <v>21</v>
      </c>
      <c r="J8" t="s">
        <v>40</v>
      </c>
      <c r="K8" t="s">
        <v>41</v>
      </c>
      <c r="L8" s="3">
        <v>50</v>
      </c>
      <c r="M8" s="3">
        <v>500</v>
      </c>
      <c r="N8" t="s">
        <v>238</v>
      </c>
      <c r="O8" s="3">
        <v>120</v>
      </c>
      <c r="P8" s="3">
        <v>1200</v>
      </c>
    </row>
    <row r="9" spans="1:16" x14ac:dyDescent="0.3">
      <c r="A9">
        <v>8</v>
      </c>
      <c r="B9" t="s">
        <v>206</v>
      </c>
      <c r="C9" t="s">
        <v>104</v>
      </c>
      <c r="D9" t="str" cm="1">
        <f t="array" ref="D9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South America</v>
      </c>
      <c r="E9" s="13">
        <v>45296</v>
      </c>
      <c r="F9">
        <v>7</v>
      </c>
      <c r="G9">
        <v>25</v>
      </c>
      <c r="H9" t="str" cm="1">
        <f t="array" ref="H9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9" t="s">
        <v>15</v>
      </c>
      <c r="J9" t="s">
        <v>44</v>
      </c>
      <c r="K9" t="s">
        <v>34</v>
      </c>
      <c r="L9" s="3">
        <v>128.57142857142858</v>
      </c>
      <c r="M9" s="3">
        <v>900</v>
      </c>
      <c r="N9" t="s">
        <v>238</v>
      </c>
      <c r="O9" s="3">
        <v>85.714285714285708</v>
      </c>
      <c r="P9" s="3">
        <v>600</v>
      </c>
    </row>
    <row r="10" spans="1:16" x14ac:dyDescent="0.3">
      <c r="A10">
        <v>9</v>
      </c>
      <c r="B10" t="s">
        <v>209</v>
      </c>
      <c r="C10" t="s">
        <v>282</v>
      </c>
      <c r="D10" t="str" cm="1">
        <f t="array" ref="D10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Europe</v>
      </c>
      <c r="E10" s="13">
        <v>45336</v>
      </c>
      <c r="F10">
        <v>7</v>
      </c>
      <c r="G10">
        <v>31</v>
      </c>
      <c r="H10" t="str" cm="1">
        <f t="array" ref="H10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10" t="s">
        <v>21</v>
      </c>
      <c r="J10" t="s">
        <v>47</v>
      </c>
      <c r="K10" t="s">
        <v>17</v>
      </c>
      <c r="L10" s="3">
        <v>171.42857142857142</v>
      </c>
      <c r="M10" s="3">
        <v>1200</v>
      </c>
      <c r="N10" t="s">
        <v>141</v>
      </c>
      <c r="O10" s="3">
        <v>28.571428571428573</v>
      </c>
      <c r="P10" s="3">
        <v>200</v>
      </c>
    </row>
    <row r="11" spans="1:16" x14ac:dyDescent="0.3">
      <c r="A11">
        <v>10</v>
      </c>
      <c r="B11" t="s">
        <v>186</v>
      </c>
      <c r="C11" t="s">
        <v>224</v>
      </c>
      <c r="D11" t="str" cm="1">
        <f t="array" ref="D11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Asia</v>
      </c>
      <c r="E11" s="13">
        <v>45361</v>
      </c>
      <c r="F11">
        <v>7</v>
      </c>
      <c r="G11">
        <v>39</v>
      </c>
      <c r="H11" t="str" cm="1">
        <f t="array" ref="H11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11" t="s">
        <v>15</v>
      </c>
      <c r="J11" t="s">
        <v>50</v>
      </c>
      <c r="K11" t="s">
        <v>23</v>
      </c>
      <c r="L11" s="3">
        <v>357.14285714285717</v>
      </c>
      <c r="M11" s="3">
        <v>2500</v>
      </c>
      <c r="N11" t="s">
        <v>238</v>
      </c>
      <c r="O11" s="3">
        <v>114.28571428571429</v>
      </c>
      <c r="P11" s="3">
        <v>800</v>
      </c>
    </row>
    <row r="12" spans="1:16" x14ac:dyDescent="0.3">
      <c r="A12">
        <v>11</v>
      </c>
      <c r="B12" t="s">
        <v>260</v>
      </c>
      <c r="C12" t="s">
        <v>110</v>
      </c>
      <c r="D12" t="str" cm="1">
        <f t="array" ref="D12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North America</v>
      </c>
      <c r="E12" s="13">
        <v>45383</v>
      </c>
      <c r="F12">
        <v>7</v>
      </c>
      <c r="G12">
        <v>27</v>
      </c>
      <c r="H12" t="str" cm="1">
        <f t="array" ref="H12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12" t="s">
        <v>21</v>
      </c>
      <c r="J12" t="s">
        <v>53</v>
      </c>
      <c r="K12" t="s">
        <v>17</v>
      </c>
      <c r="L12" s="3">
        <v>142.85714285714286</v>
      </c>
      <c r="M12" s="3">
        <v>1000</v>
      </c>
      <c r="N12" t="s">
        <v>238</v>
      </c>
      <c r="O12" s="3">
        <v>71.428571428571431</v>
      </c>
      <c r="P12" s="3">
        <v>500</v>
      </c>
    </row>
    <row r="13" spans="1:16" x14ac:dyDescent="0.3">
      <c r="A13">
        <v>12</v>
      </c>
      <c r="B13" t="s">
        <v>93</v>
      </c>
      <c r="C13" t="s">
        <v>114</v>
      </c>
      <c r="D13" t="str" cm="1">
        <f t="array" ref="D13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Europe</v>
      </c>
      <c r="E13" s="13">
        <v>45427</v>
      </c>
      <c r="F13">
        <v>7</v>
      </c>
      <c r="G13">
        <v>36</v>
      </c>
      <c r="H13" t="str" cm="1">
        <f t="array" ref="H13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13" t="s">
        <v>15</v>
      </c>
      <c r="J13" t="s">
        <v>56</v>
      </c>
      <c r="K13" t="s">
        <v>34</v>
      </c>
      <c r="L13" s="3">
        <v>114.28571428571429</v>
      </c>
      <c r="M13" s="3">
        <v>800</v>
      </c>
      <c r="N13" t="s">
        <v>141</v>
      </c>
      <c r="O13" s="3">
        <v>14.285714285714286</v>
      </c>
      <c r="P13" s="3">
        <v>100</v>
      </c>
    </row>
    <row r="14" spans="1:16" x14ac:dyDescent="0.3">
      <c r="A14">
        <v>13</v>
      </c>
      <c r="B14" t="s">
        <v>261</v>
      </c>
      <c r="C14" t="s">
        <v>91</v>
      </c>
      <c r="D14" t="str" cm="1">
        <f t="array" ref="D14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North America</v>
      </c>
      <c r="E14" s="13">
        <v>45453</v>
      </c>
      <c r="F14">
        <v>8</v>
      </c>
      <c r="G14">
        <v>29</v>
      </c>
      <c r="H14" t="str" cm="1">
        <f t="array" ref="H14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14" t="s">
        <v>21</v>
      </c>
      <c r="J14" t="s">
        <v>59</v>
      </c>
      <c r="K14" t="s">
        <v>23</v>
      </c>
      <c r="L14" s="3">
        <v>375</v>
      </c>
      <c r="M14" s="3">
        <v>3000</v>
      </c>
      <c r="N14" t="s">
        <v>238</v>
      </c>
      <c r="O14" s="3">
        <v>150</v>
      </c>
      <c r="P14" s="3">
        <v>1200</v>
      </c>
    </row>
    <row r="15" spans="1:16" x14ac:dyDescent="0.3">
      <c r="A15">
        <v>14</v>
      </c>
      <c r="B15" t="s">
        <v>262</v>
      </c>
      <c r="C15" t="s">
        <v>211</v>
      </c>
      <c r="D15" t="str" cm="1">
        <f t="array" ref="D15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Europe</v>
      </c>
      <c r="E15" s="13">
        <v>45474</v>
      </c>
      <c r="F15">
        <v>9</v>
      </c>
      <c r="G15">
        <v>48</v>
      </c>
      <c r="H15" t="str" cm="1">
        <f t="array" ref="H15">_xlfn.IFS(IF(OR(Table1[[#This Row],[Age]] &gt;= 17), Table1[[#This Row],[Age]] &lt; 30),"Young",IF(OR(Table1[[#This Row],[Age]] &gt;= 30), Table1[[#This Row],[Age]] &lt; 45),"Middle-Aged",Table1[[#This Row],[Age]] &gt;= 45,"Old")</f>
        <v>Old</v>
      </c>
      <c r="I15" t="s">
        <v>15</v>
      </c>
      <c r="J15" t="s">
        <v>62</v>
      </c>
      <c r="K15" t="s">
        <v>17</v>
      </c>
      <c r="L15" s="3">
        <v>155.55555555555554</v>
      </c>
      <c r="M15" s="3">
        <v>1400</v>
      </c>
      <c r="N15" t="s">
        <v>238</v>
      </c>
      <c r="O15" s="3">
        <v>77.777777777777771</v>
      </c>
      <c r="P15" s="3">
        <v>700</v>
      </c>
    </row>
    <row r="16" spans="1:16" x14ac:dyDescent="0.3">
      <c r="A16">
        <v>15</v>
      </c>
      <c r="B16" t="s">
        <v>263</v>
      </c>
      <c r="C16" t="s">
        <v>283</v>
      </c>
      <c r="D16" t="str" cm="1">
        <f t="array" ref="D16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Africa</v>
      </c>
      <c r="E16" s="13">
        <v>45524</v>
      </c>
      <c r="F16">
        <v>7</v>
      </c>
      <c r="G16">
        <v>26</v>
      </c>
      <c r="H16" t="str" cm="1">
        <f t="array" ref="H16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16" t="s">
        <v>21</v>
      </c>
      <c r="J16" t="s">
        <v>65</v>
      </c>
      <c r="K16" t="s">
        <v>66</v>
      </c>
      <c r="L16" s="3">
        <v>85.714285714285708</v>
      </c>
      <c r="M16" s="3">
        <v>600</v>
      </c>
      <c r="N16" t="s">
        <v>238</v>
      </c>
      <c r="O16" s="3">
        <v>57.142857142857146</v>
      </c>
      <c r="P16" s="3">
        <v>400</v>
      </c>
    </row>
    <row r="17" spans="1:16" x14ac:dyDescent="0.3">
      <c r="A17">
        <v>16</v>
      </c>
      <c r="B17" t="s">
        <v>264</v>
      </c>
      <c r="C17" t="s">
        <v>284</v>
      </c>
      <c r="D17" t="str" cm="1">
        <f t="array" ref="D17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Europe</v>
      </c>
      <c r="E17" s="13">
        <v>45540</v>
      </c>
      <c r="F17">
        <v>7</v>
      </c>
      <c r="G17">
        <v>32</v>
      </c>
      <c r="H17" t="str" cm="1">
        <f t="array" ref="H17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17" t="s">
        <v>15</v>
      </c>
      <c r="J17" t="s">
        <v>69</v>
      </c>
      <c r="K17" t="s">
        <v>17</v>
      </c>
      <c r="L17" s="3">
        <v>128.57142857142901</v>
      </c>
      <c r="M17" s="3">
        <v>900</v>
      </c>
      <c r="N17" t="s">
        <v>141</v>
      </c>
      <c r="O17" s="3">
        <v>21.428571428571427</v>
      </c>
      <c r="P17" s="3">
        <v>150</v>
      </c>
    </row>
    <row r="18" spans="1:16" x14ac:dyDescent="0.3">
      <c r="A18">
        <v>17</v>
      </c>
      <c r="B18" t="s">
        <v>70</v>
      </c>
      <c r="C18" t="s">
        <v>99</v>
      </c>
      <c r="D18" t="str" cm="1">
        <f t="array" ref="D18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Europe</v>
      </c>
      <c r="E18" s="13">
        <v>45170</v>
      </c>
      <c r="F18">
        <v>9</v>
      </c>
      <c r="G18">
        <v>30</v>
      </c>
      <c r="H18" t="str" cm="1">
        <f t="array" ref="H18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18" t="s">
        <v>21</v>
      </c>
      <c r="J18" t="s">
        <v>16</v>
      </c>
      <c r="K18" t="s">
        <v>17</v>
      </c>
      <c r="L18" s="3">
        <v>100</v>
      </c>
      <c r="M18" s="3">
        <v>900</v>
      </c>
      <c r="N18" t="s">
        <v>238</v>
      </c>
      <c r="O18" s="3">
        <v>44.444444444444443</v>
      </c>
      <c r="P18" s="3">
        <v>400</v>
      </c>
    </row>
    <row r="19" spans="1:16" x14ac:dyDescent="0.3">
      <c r="A19">
        <v>18</v>
      </c>
      <c r="B19" t="s">
        <v>72</v>
      </c>
      <c r="C19" t="s">
        <v>281</v>
      </c>
      <c r="D19" t="str" cm="1">
        <f t="array" ref="D19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Asia</v>
      </c>
      <c r="E19" s="13">
        <v>45153</v>
      </c>
      <c r="F19">
        <v>10</v>
      </c>
      <c r="G19">
        <v>28</v>
      </c>
      <c r="H19" t="str" cm="1">
        <f t="array" ref="H19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19" t="s">
        <v>15</v>
      </c>
      <c r="J19" t="s">
        <v>59</v>
      </c>
      <c r="K19" t="s">
        <v>23</v>
      </c>
      <c r="L19" s="3">
        <v>150</v>
      </c>
      <c r="M19" s="3">
        <v>1500</v>
      </c>
      <c r="N19" t="s">
        <v>238</v>
      </c>
      <c r="O19" s="3">
        <v>70</v>
      </c>
      <c r="P19" s="3">
        <v>700</v>
      </c>
    </row>
    <row r="20" spans="1:16" x14ac:dyDescent="0.3">
      <c r="A20">
        <v>19</v>
      </c>
      <c r="B20" t="s">
        <v>74</v>
      </c>
      <c r="C20" t="s">
        <v>200</v>
      </c>
      <c r="D20" t="str" cm="1">
        <f t="array" ref="D20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Europe</v>
      </c>
      <c r="E20" s="13">
        <v>45129</v>
      </c>
      <c r="F20">
        <v>6</v>
      </c>
      <c r="G20">
        <v>35</v>
      </c>
      <c r="H20" t="str" cm="1">
        <f t="array" ref="H20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20" t="s">
        <v>21</v>
      </c>
      <c r="J20" t="s">
        <v>30</v>
      </c>
      <c r="K20" t="s">
        <v>17</v>
      </c>
      <c r="L20" s="3">
        <v>200</v>
      </c>
      <c r="M20" s="3">
        <v>1200</v>
      </c>
      <c r="N20" t="s">
        <v>141</v>
      </c>
      <c r="O20" s="3">
        <v>25</v>
      </c>
      <c r="P20" s="3">
        <v>150</v>
      </c>
    </row>
    <row r="21" spans="1:16" x14ac:dyDescent="0.3">
      <c r="A21">
        <v>20</v>
      </c>
      <c r="B21" t="s">
        <v>76</v>
      </c>
      <c r="C21" t="s">
        <v>95</v>
      </c>
      <c r="D21" t="str" cm="1">
        <f t="array" ref="D21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Asia</v>
      </c>
      <c r="E21" s="13">
        <v>45204</v>
      </c>
      <c r="F21">
        <v>10</v>
      </c>
      <c r="G21">
        <v>45</v>
      </c>
      <c r="H21" t="str" cm="1">
        <f t="array" ref="H21">_xlfn.IFS(IF(OR(Table1[[#This Row],[Age]] &gt;= 17), Table1[[#This Row],[Age]] &lt; 30),"Young",IF(OR(Table1[[#This Row],[Age]] &gt;= 30), Table1[[#This Row],[Age]] &lt; 45),"Middle-Aged",Table1[[#This Row],[Age]] &gt;= 45,"Old")</f>
        <v>Old</v>
      </c>
      <c r="I21" t="s">
        <v>15</v>
      </c>
      <c r="J21" t="s">
        <v>78</v>
      </c>
      <c r="K21" t="s">
        <v>17</v>
      </c>
      <c r="L21" s="3">
        <v>120</v>
      </c>
      <c r="M21" s="3">
        <v>1200</v>
      </c>
      <c r="N21" t="s">
        <v>238</v>
      </c>
      <c r="O21" s="3">
        <v>80</v>
      </c>
      <c r="P21" s="3">
        <v>800</v>
      </c>
    </row>
    <row r="22" spans="1:16" x14ac:dyDescent="0.3">
      <c r="A22">
        <v>21</v>
      </c>
      <c r="B22" t="s">
        <v>79</v>
      </c>
      <c r="C22" t="s">
        <v>197</v>
      </c>
      <c r="D22" t="str" cm="1">
        <f t="array" ref="D22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North America</v>
      </c>
      <c r="E22" s="13">
        <v>45250</v>
      </c>
      <c r="F22">
        <v>5</v>
      </c>
      <c r="G22">
        <v>27</v>
      </c>
      <c r="H22" t="str" cm="1">
        <f t="array" ref="H22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22" t="s">
        <v>21</v>
      </c>
      <c r="J22" t="s">
        <v>16</v>
      </c>
      <c r="K22" t="s">
        <v>34</v>
      </c>
      <c r="L22" s="3">
        <v>120</v>
      </c>
      <c r="M22" s="3">
        <v>600</v>
      </c>
      <c r="N22" t="s">
        <v>81</v>
      </c>
      <c r="O22" s="3">
        <v>20</v>
      </c>
      <c r="P22" s="3">
        <v>100</v>
      </c>
    </row>
    <row r="23" spans="1:16" x14ac:dyDescent="0.3">
      <c r="A23">
        <v>22</v>
      </c>
      <c r="B23" t="s">
        <v>82</v>
      </c>
      <c r="C23" t="s">
        <v>102</v>
      </c>
      <c r="D23" t="str" cm="1">
        <f t="array" ref="D23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Oceania</v>
      </c>
      <c r="E23" s="13">
        <v>45265</v>
      </c>
      <c r="F23">
        <v>7</v>
      </c>
      <c r="G23">
        <v>32</v>
      </c>
      <c r="H23" t="str" cm="1">
        <f t="array" ref="H23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23" t="s">
        <v>15</v>
      </c>
      <c r="J23" t="s">
        <v>40</v>
      </c>
      <c r="K23" t="s">
        <v>17</v>
      </c>
      <c r="L23" s="3">
        <v>142.85714285714286</v>
      </c>
      <c r="M23" s="3">
        <v>1000</v>
      </c>
      <c r="N23" t="s">
        <v>238</v>
      </c>
      <c r="O23" s="3">
        <v>85.714285714285708</v>
      </c>
      <c r="P23" s="3">
        <v>600</v>
      </c>
    </row>
    <row r="24" spans="1:16" x14ac:dyDescent="0.3">
      <c r="A24">
        <v>23</v>
      </c>
      <c r="B24" t="s">
        <v>84</v>
      </c>
      <c r="C24" t="s">
        <v>112</v>
      </c>
      <c r="D24" t="str" cm="1">
        <f t="array" ref="D24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Europe</v>
      </c>
      <c r="E24" s="13">
        <v>45231</v>
      </c>
      <c r="F24">
        <v>7</v>
      </c>
      <c r="G24">
        <v>29</v>
      </c>
      <c r="H24" t="str" cm="1">
        <f t="array" ref="H24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24" t="s">
        <v>21</v>
      </c>
      <c r="J24" t="s">
        <v>86</v>
      </c>
      <c r="K24" t="s">
        <v>34</v>
      </c>
      <c r="L24" s="3">
        <v>100</v>
      </c>
      <c r="M24" s="3">
        <v>700</v>
      </c>
      <c r="N24" t="s">
        <v>141</v>
      </c>
      <c r="O24" s="3">
        <v>11.428571428571429</v>
      </c>
      <c r="P24" s="3">
        <v>80</v>
      </c>
    </row>
    <row r="25" spans="1:16" x14ac:dyDescent="0.3">
      <c r="A25">
        <v>24</v>
      </c>
      <c r="B25" t="s">
        <v>87</v>
      </c>
      <c r="C25" t="s">
        <v>97</v>
      </c>
      <c r="D25" t="str" cm="1">
        <f t="array" ref="D25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Asia</v>
      </c>
      <c r="E25" s="13">
        <v>45184</v>
      </c>
      <c r="F25">
        <v>8</v>
      </c>
      <c r="G25">
        <v>40</v>
      </c>
      <c r="H25" t="str" cm="1">
        <f t="array" ref="H25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25" t="s">
        <v>15</v>
      </c>
      <c r="J25" t="s">
        <v>89</v>
      </c>
      <c r="K25" t="s">
        <v>41</v>
      </c>
      <c r="L25" s="3">
        <v>50</v>
      </c>
      <c r="M25" s="3">
        <v>400</v>
      </c>
      <c r="N25" t="s">
        <v>238</v>
      </c>
      <c r="O25" s="3">
        <v>62.5</v>
      </c>
      <c r="P25" s="3">
        <v>500</v>
      </c>
    </row>
    <row r="26" spans="1:16" x14ac:dyDescent="0.3">
      <c r="A26">
        <v>25</v>
      </c>
      <c r="B26" t="s">
        <v>70</v>
      </c>
      <c r="C26" t="s">
        <v>99</v>
      </c>
      <c r="D26" t="str" cm="1">
        <f t="array" ref="D26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Europe</v>
      </c>
      <c r="E26" s="13">
        <v>45282</v>
      </c>
      <c r="F26">
        <v>6</v>
      </c>
      <c r="G26">
        <v>24</v>
      </c>
      <c r="H26" t="str" cm="1">
        <f t="array" ref="H26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26" t="s">
        <v>21</v>
      </c>
      <c r="J26" t="s">
        <v>33</v>
      </c>
      <c r="K26" t="s">
        <v>17</v>
      </c>
      <c r="L26" s="3">
        <v>233.33333333333334</v>
      </c>
      <c r="M26" s="3">
        <v>1400</v>
      </c>
      <c r="N26" t="s">
        <v>141</v>
      </c>
      <c r="O26" s="3">
        <v>16.666666666666668</v>
      </c>
      <c r="P26" s="3">
        <v>100</v>
      </c>
    </row>
    <row r="27" spans="1:16" x14ac:dyDescent="0.3">
      <c r="A27">
        <v>26</v>
      </c>
      <c r="B27" t="s">
        <v>91</v>
      </c>
      <c r="C27" t="s">
        <v>197</v>
      </c>
      <c r="D27" t="str" cm="1">
        <f t="array" ref="D27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North America</v>
      </c>
      <c r="E27" s="13">
        <v>45139</v>
      </c>
      <c r="F27">
        <v>9</v>
      </c>
      <c r="G27">
        <v>34</v>
      </c>
      <c r="H27" t="str" cm="1">
        <f t="array" ref="H27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27" t="s">
        <v>15</v>
      </c>
      <c r="J27" t="s">
        <v>26</v>
      </c>
      <c r="K27" t="s">
        <v>23</v>
      </c>
      <c r="L27" s="3">
        <v>222.22222222222223</v>
      </c>
      <c r="M27" s="3">
        <v>2000</v>
      </c>
      <c r="N27" t="s">
        <v>238</v>
      </c>
      <c r="O27" s="3">
        <v>88.888888888888886</v>
      </c>
      <c r="P27" s="3">
        <v>800</v>
      </c>
    </row>
    <row r="28" spans="1:16" x14ac:dyDescent="0.3">
      <c r="A28">
        <v>27</v>
      </c>
      <c r="B28" t="s">
        <v>93</v>
      </c>
      <c r="C28" t="s">
        <v>114</v>
      </c>
      <c r="D28" t="str" cm="1">
        <f t="array" ref="D28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Europe</v>
      </c>
      <c r="E28" s="13">
        <v>45219</v>
      </c>
      <c r="F28">
        <v>8</v>
      </c>
      <c r="G28">
        <v>31</v>
      </c>
      <c r="H28" t="str" cm="1">
        <f t="array" ref="H28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28" t="s">
        <v>21</v>
      </c>
      <c r="J28" t="s">
        <v>56</v>
      </c>
      <c r="K28" t="s">
        <v>17</v>
      </c>
      <c r="L28" s="3">
        <v>137.5</v>
      </c>
      <c r="M28" s="3">
        <v>1100</v>
      </c>
      <c r="N28" t="s">
        <v>141</v>
      </c>
      <c r="O28" s="3">
        <v>18.75</v>
      </c>
      <c r="P28" s="3">
        <v>150</v>
      </c>
    </row>
    <row r="29" spans="1:16" x14ac:dyDescent="0.3">
      <c r="A29">
        <v>28</v>
      </c>
      <c r="B29" t="s">
        <v>95</v>
      </c>
      <c r="C29" t="s">
        <v>95</v>
      </c>
      <c r="D29" t="str" cm="1">
        <f t="array" ref="D29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Asia</v>
      </c>
      <c r="E29" s="13">
        <v>44691</v>
      </c>
      <c r="F29">
        <v>8</v>
      </c>
      <c r="G29">
        <v>30</v>
      </c>
      <c r="H29" t="str" cm="1">
        <f t="array" ref="H29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29" t="s">
        <v>21</v>
      </c>
      <c r="J29" t="s">
        <v>16</v>
      </c>
      <c r="K29" t="s">
        <v>17</v>
      </c>
      <c r="L29" s="3">
        <v>100</v>
      </c>
      <c r="M29" s="3">
        <v>800</v>
      </c>
      <c r="N29" t="s">
        <v>238</v>
      </c>
      <c r="O29" s="3">
        <v>62.5</v>
      </c>
      <c r="P29" s="3">
        <v>500</v>
      </c>
    </row>
    <row r="30" spans="1:16" x14ac:dyDescent="0.3">
      <c r="A30">
        <v>29</v>
      </c>
      <c r="B30" t="s">
        <v>97</v>
      </c>
      <c r="C30" t="s">
        <v>97</v>
      </c>
      <c r="D30" t="str" cm="1">
        <f t="array" ref="D30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Asia</v>
      </c>
      <c r="E30" s="13">
        <v>44727</v>
      </c>
      <c r="F30">
        <v>7</v>
      </c>
      <c r="G30">
        <v>45</v>
      </c>
      <c r="H30" t="str" cm="1">
        <f t="array" ref="H30">_xlfn.IFS(IF(OR(Table1[[#This Row],[Age]] &gt;= 17), Table1[[#This Row],[Age]] &lt; 30),"Young",IF(OR(Table1[[#This Row],[Age]] &gt;= 30), Table1[[#This Row],[Age]] &lt; 45),"Middle-Aged",Table1[[#This Row],[Age]] &gt;= 45,"Old")</f>
        <v>Old</v>
      </c>
      <c r="I30" t="s">
        <v>15</v>
      </c>
      <c r="J30" t="s">
        <v>22</v>
      </c>
      <c r="K30" t="s">
        <v>41</v>
      </c>
      <c r="L30" s="3">
        <v>28.571428571428573</v>
      </c>
      <c r="M30" s="3">
        <v>200</v>
      </c>
      <c r="N30" t="s">
        <v>141</v>
      </c>
      <c r="O30" s="3">
        <v>21.428571428571427</v>
      </c>
      <c r="P30" s="3">
        <v>150</v>
      </c>
    </row>
    <row r="31" spans="1:16" x14ac:dyDescent="0.3">
      <c r="A31">
        <v>30</v>
      </c>
      <c r="B31" t="s">
        <v>99</v>
      </c>
      <c r="C31" t="s">
        <v>99</v>
      </c>
      <c r="D31" t="str" cm="1">
        <f t="array" ref="D31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Europe</v>
      </c>
      <c r="E31" s="13">
        <v>44744</v>
      </c>
      <c r="F31">
        <v>9</v>
      </c>
      <c r="G31">
        <v>25</v>
      </c>
      <c r="H31" t="str" cm="1">
        <f t="array" ref="H31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31" t="s">
        <v>15</v>
      </c>
      <c r="J31" t="s">
        <v>26</v>
      </c>
      <c r="K31" t="s">
        <v>34</v>
      </c>
      <c r="L31" s="3">
        <v>66.666666666666671</v>
      </c>
      <c r="M31" s="3">
        <v>600</v>
      </c>
      <c r="N31" t="s">
        <v>172</v>
      </c>
      <c r="O31" s="3">
        <v>33.333333333333336</v>
      </c>
      <c r="P31" s="3">
        <v>300</v>
      </c>
    </row>
    <row r="32" spans="1:16" x14ac:dyDescent="0.3">
      <c r="A32">
        <v>31</v>
      </c>
      <c r="B32" t="s">
        <v>102</v>
      </c>
      <c r="C32" t="s">
        <v>102</v>
      </c>
      <c r="D32" t="str" cm="1">
        <f t="array" ref="D32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Oceania</v>
      </c>
      <c r="E32" s="13">
        <v>44793</v>
      </c>
      <c r="F32">
        <v>13</v>
      </c>
      <c r="G32">
        <v>28</v>
      </c>
      <c r="H32" t="str" cm="1">
        <f t="array" ref="H32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32" t="s">
        <v>21</v>
      </c>
      <c r="J32" t="s">
        <v>30</v>
      </c>
      <c r="K32" t="s">
        <v>17</v>
      </c>
      <c r="L32" s="3">
        <v>76.92307692307692</v>
      </c>
      <c r="M32" s="3">
        <v>1000</v>
      </c>
      <c r="N32" t="s">
        <v>172</v>
      </c>
      <c r="O32" s="3">
        <v>38.46153846153846</v>
      </c>
      <c r="P32" s="3">
        <v>500</v>
      </c>
    </row>
    <row r="33" spans="1:16" x14ac:dyDescent="0.3">
      <c r="A33">
        <v>32</v>
      </c>
      <c r="B33" t="s">
        <v>104</v>
      </c>
      <c r="C33" t="s">
        <v>104</v>
      </c>
      <c r="D33" t="str" cm="1">
        <f t="array" ref="D33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South America</v>
      </c>
      <c r="E33" s="13">
        <v>44809</v>
      </c>
      <c r="F33">
        <v>9</v>
      </c>
      <c r="G33">
        <v>33</v>
      </c>
      <c r="H33" t="str" cm="1">
        <f t="array" ref="H33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33" t="s">
        <v>21</v>
      </c>
      <c r="J33" t="s">
        <v>40</v>
      </c>
      <c r="K33" t="s">
        <v>41</v>
      </c>
      <c r="L33" s="3">
        <v>16.666666666666668</v>
      </c>
      <c r="M33" s="3">
        <v>150</v>
      </c>
      <c r="N33" t="s">
        <v>81</v>
      </c>
      <c r="O33" s="3">
        <v>5.5555555555555554</v>
      </c>
      <c r="P33" s="3">
        <v>50</v>
      </c>
    </row>
    <row r="34" spans="1:16" x14ac:dyDescent="0.3">
      <c r="A34">
        <v>33</v>
      </c>
      <c r="B34" t="s">
        <v>106</v>
      </c>
      <c r="C34" t="s">
        <v>106</v>
      </c>
      <c r="D34" t="str" cm="1">
        <f t="array" ref="D34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Europe</v>
      </c>
      <c r="E34" s="13">
        <v>44846</v>
      </c>
      <c r="F34">
        <v>8</v>
      </c>
      <c r="G34">
        <v>20</v>
      </c>
      <c r="H34" t="str" cm="1">
        <f t="array" ref="H34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34" t="s">
        <v>15</v>
      </c>
      <c r="J34" t="s">
        <v>16</v>
      </c>
      <c r="K34" t="s">
        <v>34</v>
      </c>
      <c r="L34" s="3">
        <v>50</v>
      </c>
      <c r="M34" s="3">
        <v>400</v>
      </c>
      <c r="N34" t="s">
        <v>238</v>
      </c>
      <c r="O34" s="3">
        <v>75</v>
      </c>
      <c r="P34" s="3">
        <v>600</v>
      </c>
    </row>
    <row r="35" spans="1:16" x14ac:dyDescent="0.3">
      <c r="A35">
        <v>34</v>
      </c>
      <c r="B35" t="s">
        <v>108</v>
      </c>
      <c r="C35" t="s">
        <v>108</v>
      </c>
      <c r="D35" t="str" cm="1">
        <f t="array" ref="D35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Africa</v>
      </c>
      <c r="E35" s="13">
        <v>44873</v>
      </c>
      <c r="F35">
        <v>7</v>
      </c>
      <c r="G35">
        <v>37</v>
      </c>
      <c r="H35" t="str" cm="1">
        <f t="array" ref="H35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35" t="s">
        <v>21</v>
      </c>
      <c r="J35" t="s">
        <v>22</v>
      </c>
      <c r="K35" t="s">
        <v>17</v>
      </c>
      <c r="L35" s="3">
        <v>100</v>
      </c>
      <c r="M35" s="3">
        <v>700</v>
      </c>
      <c r="N35" t="s">
        <v>141</v>
      </c>
      <c r="O35" s="3">
        <v>14.285714285714286</v>
      </c>
      <c r="P35" s="3">
        <v>100</v>
      </c>
    </row>
    <row r="36" spans="1:16" x14ac:dyDescent="0.3">
      <c r="A36">
        <v>35</v>
      </c>
      <c r="B36" t="s">
        <v>110</v>
      </c>
      <c r="C36" t="s">
        <v>110</v>
      </c>
      <c r="D36" t="str" cm="1">
        <f t="array" ref="D36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North America</v>
      </c>
      <c r="E36" s="13">
        <v>44931</v>
      </c>
      <c r="F36">
        <v>10</v>
      </c>
      <c r="G36">
        <v>42</v>
      </c>
      <c r="H36" t="str" cm="1">
        <f t="array" ref="H36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36" t="s">
        <v>15</v>
      </c>
      <c r="J36" t="s">
        <v>30</v>
      </c>
      <c r="K36" t="s">
        <v>34</v>
      </c>
      <c r="L36" s="3">
        <v>50</v>
      </c>
      <c r="M36" s="3">
        <v>500</v>
      </c>
      <c r="N36" t="s">
        <v>238</v>
      </c>
      <c r="O36" s="3">
        <v>80</v>
      </c>
      <c r="P36" s="3">
        <v>800</v>
      </c>
    </row>
    <row r="37" spans="1:16" x14ac:dyDescent="0.3">
      <c r="A37">
        <v>36</v>
      </c>
      <c r="B37" t="s">
        <v>112</v>
      </c>
      <c r="C37" t="s">
        <v>112</v>
      </c>
      <c r="D37" t="str" cm="1">
        <f t="array" ref="D37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Europe</v>
      </c>
      <c r="E37" s="13">
        <v>44971</v>
      </c>
      <c r="F37">
        <v>6</v>
      </c>
      <c r="G37">
        <v>31</v>
      </c>
      <c r="H37" t="str" cm="1">
        <f t="array" ref="H37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37" t="s">
        <v>21</v>
      </c>
      <c r="J37" t="s">
        <v>16</v>
      </c>
      <c r="K37" t="s">
        <v>41</v>
      </c>
      <c r="L37" s="3">
        <v>30</v>
      </c>
      <c r="M37" s="3">
        <v>180</v>
      </c>
      <c r="N37" t="s">
        <v>141</v>
      </c>
      <c r="O37" s="3">
        <v>20</v>
      </c>
      <c r="P37" s="3">
        <v>120</v>
      </c>
    </row>
    <row r="38" spans="1:16" x14ac:dyDescent="0.3">
      <c r="A38">
        <v>37</v>
      </c>
      <c r="B38" t="s">
        <v>114</v>
      </c>
      <c r="C38" t="s">
        <v>114</v>
      </c>
      <c r="D38" t="str" cm="1">
        <f t="array" ref="D38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Europe</v>
      </c>
      <c r="E38" s="13">
        <v>45008</v>
      </c>
      <c r="F38">
        <v>8</v>
      </c>
      <c r="G38">
        <v>27</v>
      </c>
      <c r="H38" t="str" cm="1">
        <f t="array" ref="H38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38" t="s">
        <v>15</v>
      </c>
      <c r="J38" t="s">
        <v>26</v>
      </c>
      <c r="K38" t="s">
        <v>17</v>
      </c>
      <c r="L38" s="3">
        <v>112.5</v>
      </c>
      <c r="M38" s="3">
        <v>900</v>
      </c>
      <c r="N38" t="s">
        <v>172</v>
      </c>
      <c r="O38" s="3">
        <v>50</v>
      </c>
      <c r="P38" s="3">
        <v>400</v>
      </c>
    </row>
    <row r="39" spans="1:16" x14ac:dyDescent="0.3">
      <c r="A39">
        <v>38</v>
      </c>
      <c r="B39" t="s">
        <v>116</v>
      </c>
      <c r="C39" t="s">
        <v>116</v>
      </c>
      <c r="D39" t="str" cm="1">
        <f t="array" ref="D39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North America</v>
      </c>
      <c r="E39" s="13">
        <v>45035</v>
      </c>
      <c r="F39">
        <v>7</v>
      </c>
      <c r="G39">
        <v>38</v>
      </c>
      <c r="H39" t="str" cm="1">
        <f t="array" ref="H39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39" t="s">
        <v>21</v>
      </c>
      <c r="J39" t="s">
        <v>40</v>
      </c>
      <c r="K39" t="s">
        <v>34</v>
      </c>
      <c r="L39" s="3">
        <v>50</v>
      </c>
      <c r="M39" s="3">
        <v>350</v>
      </c>
      <c r="N39" t="s">
        <v>81</v>
      </c>
      <c r="O39" s="3">
        <v>10.714285714285714</v>
      </c>
      <c r="P39" s="3">
        <v>75</v>
      </c>
    </row>
    <row r="40" spans="1:16" x14ac:dyDescent="0.3">
      <c r="A40">
        <v>39</v>
      </c>
      <c r="B40" t="s">
        <v>70</v>
      </c>
      <c r="C40" t="s">
        <v>99</v>
      </c>
      <c r="D40" t="str" cm="1">
        <f t="array" ref="D40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Europe</v>
      </c>
      <c r="E40" s="13">
        <v>44724</v>
      </c>
      <c r="F40">
        <v>7</v>
      </c>
      <c r="G40">
        <v>25</v>
      </c>
      <c r="H40" t="str" cm="1">
        <f t="array" ref="H40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40" t="s">
        <v>21</v>
      </c>
      <c r="J40" t="s">
        <v>16</v>
      </c>
      <c r="K40" t="s">
        <v>17</v>
      </c>
      <c r="L40" s="3">
        <v>200</v>
      </c>
      <c r="M40" s="3">
        <v>1400</v>
      </c>
      <c r="N40" t="s">
        <v>238</v>
      </c>
      <c r="O40" s="3">
        <v>85.714285714285708</v>
      </c>
      <c r="P40" s="3">
        <v>600</v>
      </c>
    </row>
    <row r="41" spans="1:16" x14ac:dyDescent="0.3">
      <c r="A41">
        <v>40</v>
      </c>
      <c r="B41" t="s">
        <v>82</v>
      </c>
      <c r="C41" t="s">
        <v>102</v>
      </c>
      <c r="D41" t="str" cm="1">
        <f t="array" ref="D41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Oceania</v>
      </c>
      <c r="E41" s="13">
        <v>44928</v>
      </c>
      <c r="F41">
        <v>7</v>
      </c>
      <c r="G41">
        <v>33</v>
      </c>
      <c r="H41" t="str" cm="1">
        <f t="array" ref="H41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41" t="s">
        <v>15</v>
      </c>
      <c r="J41" t="s">
        <v>22</v>
      </c>
      <c r="K41" t="s">
        <v>34</v>
      </c>
      <c r="L41" s="3">
        <v>114.28571428571429</v>
      </c>
      <c r="M41" s="3">
        <v>800</v>
      </c>
      <c r="N41" t="s">
        <v>141</v>
      </c>
      <c r="O41" s="3">
        <v>21.428571428571427</v>
      </c>
      <c r="P41" s="3">
        <v>150</v>
      </c>
    </row>
    <row r="42" spans="1:16" x14ac:dyDescent="0.3">
      <c r="A42">
        <v>41</v>
      </c>
      <c r="B42" t="s">
        <v>76</v>
      </c>
      <c r="C42" t="s">
        <v>95</v>
      </c>
      <c r="D42" t="str" cm="1">
        <f t="array" ref="D42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Asia</v>
      </c>
      <c r="E42" s="13">
        <v>44905</v>
      </c>
      <c r="F42">
        <v>8</v>
      </c>
      <c r="G42">
        <v>28</v>
      </c>
      <c r="H42" t="str" cm="1">
        <f t="array" ref="H42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42" t="s">
        <v>21</v>
      </c>
      <c r="J42" t="s">
        <v>59</v>
      </c>
      <c r="K42" t="s">
        <v>41</v>
      </c>
      <c r="L42" s="3">
        <v>62.5</v>
      </c>
      <c r="M42" s="3">
        <v>500</v>
      </c>
      <c r="N42" t="s">
        <v>238</v>
      </c>
      <c r="O42" s="3">
        <v>112.5</v>
      </c>
      <c r="P42" s="3">
        <v>900</v>
      </c>
    </row>
    <row r="43" spans="1:16" x14ac:dyDescent="0.3">
      <c r="A43">
        <v>42</v>
      </c>
      <c r="B43" t="s">
        <v>260</v>
      </c>
      <c r="C43" t="s">
        <v>110</v>
      </c>
      <c r="D43" t="str" cm="1">
        <f t="array" ref="D43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North America</v>
      </c>
      <c r="E43" s="13">
        <v>45108</v>
      </c>
      <c r="F43">
        <v>7</v>
      </c>
      <c r="G43">
        <v>45</v>
      </c>
      <c r="H43" t="str" cm="1">
        <f t="array" ref="H43">_xlfn.IFS(IF(OR(Table1[[#This Row],[Age]] &gt;= 17), Table1[[#This Row],[Age]] &lt; 30),"Young",IF(OR(Table1[[#This Row],[Age]] &gt;= 30), Table1[[#This Row],[Age]] &lt; 45),"Middle-Aged",Table1[[#This Row],[Age]] &gt;= 45,"Old")</f>
        <v>Old</v>
      </c>
      <c r="I43" t="s">
        <v>15</v>
      </c>
      <c r="J43" t="s">
        <v>16</v>
      </c>
      <c r="K43" t="s">
        <v>23</v>
      </c>
      <c r="L43" s="3">
        <v>314.28571428571428</v>
      </c>
      <c r="M43" s="3">
        <v>2200</v>
      </c>
      <c r="N43" t="s">
        <v>238</v>
      </c>
      <c r="O43" s="3">
        <v>114.28571428571429</v>
      </c>
      <c r="P43" s="3">
        <v>800</v>
      </c>
    </row>
    <row r="44" spans="1:16" x14ac:dyDescent="0.3">
      <c r="A44">
        <v>43</v>
      </c>
      <c r="B44" t="s">
        <v>206</v>
      </c>
      <c r="C44" t="s">
        <v>104</v>
      </c>
      <c r="D44" t="str" cm="1">
        <f t="array" ref="D44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South America</v>
      </c>
      <c r="E44" s="13">
        <v>44885</v>
      </c>
      <c r="F44">
        <v>7</v>
      </c>
      <c r="G44">
        <v>30</v>
      </c>
      <c r="H44" t="str" cm="1">
        <f t="array" ref="H44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44" t="s">
        <v>21</v>
      </c>
      <c r="J44" t="s">
        <v>44</v>
      </c>
      <c r="K44" t="s">
        <v>17</v>
      </c>
      <c r="L44" s="3">
        <v>171.42857142857142</v>
      </c>
      <c r="M44" s="3">
        <v>1200</v>
      </c>
      <c r="N44" t="s">
        <v>238</v>
      </c>
      <c r="O44" s="3">
        <v>100</v>
      </c>
      <c r="P44" s="3">
        <v>700</v>
      </c>
    </row>
    <row r="45" spans="1:16" x14ac:dyDescent="0.3">
      <c r="A45">
        <v>44</v>
      </c>
      <c r="B45" t="s">
        <v>74</v>
      </c>
      <c r="C45" t="s">
        <v>200</v>
      </c>
      <c r="D45" t="str" cm="1">
        <f t="array" ref="D45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Europe</v>
      </c>
      <c r="E45" s="13">
        <v>44990</v>
      </c>
      <c r="F45">
        <v>7</v>
      </c>
      <c r="G45">
        <v>55</v>
      </c>
      <c r="H45" t="str" cm="1">
        <f t="array" ref="H45">_xlfn.IFS(IF(OR(Table1[[#This Row],[Age]] &gt;= 17), Table1[[#This Row],[Age]] &lt; 30),"Young",IF(OR(Table1[[#This Row],[Age]] &gt;= 30), Table1[[#This Row],[Age]] &lt; 45),"Middle-Aged",Table1[[#This Row],[Age]] &gt;= 45,"Old")</f>
        <v>Old</v>
      </c>
      <c r="I45" t="s">
        <v>15</v>
      </c>
      <c r="J45" t="s">
        <v>30</v>
      </c>
      <c r="K45" t="s">
        <v>34</v>
      </c>
      <c r="L45" s="3">
        <v>128.57142857142858</v>
      </c>
      <c r="M45" s="3">
        <v>900</v>
      </c>
      <c r="N45" t="s">
        <v>141</v>
      </c>
      <c r="O45" s="3">
        <v>14.285714285714286</v>
      </c>
      <c r="P45" s="3">
        <v>100</v>
      </c>
    </row>
    <row r="46" spans="1:16" x14ac:dyDescent="0.3">
      <c r="A46">
        <v>45</v>
      </c>
      <c r="B46" t="s">
        <v>93</v>
      </c>
      <c r="C46" t="s">
        <v>114</v>
      </c>
      <c r="D46" t="str" cm="1">
        <f t="array" ref="D46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Europe</v>
      </c>
      <c r="E46" s="13">
        <v>45156</v>
      </c>
      <c r="F46">
        <v>7</v>
      </c>
      <c r="G46">
        <v>27</v>
      </c>
      <c r="H46" t="str" cm="1">
        <f t="array" ref="H46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46" t="s">
        <v>21</v>
      </c>
      <c r="J46" t="s">
        <v>56</v>
      </c>
      <c r="K46" t="s">
        <v>41</v>
      </c>
      <c r="L46" s="3">
        <v>85.714285714285708</v>
      </c>
      <c r="M46" s="3">
        <v>600</v>
      </c>
      <c r="N46" t="s">
        <v>238</v>
      </c>
      <c r="O46" s="3">
        <v>85.714285714285708</v>
      </c>
      <c r="P46" s="3">
        <v>600</v>
      </c>
    </row>
    <row r="47" spans="1:16" x14ac:dyDescent="0.3">
      <c r="A47">
        <v>46</v>
      </c>
      <c r="B47" t="s">
        <v>265</v>
      </c>
      <c r="C47" t="s">
        <v>197</v>
      </c>
      <c r="D47" t="str" cm="1">
        <f t="array" ref="D47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North America</v>
      </c>
      <c r="E47" s="13">
        <v>44819</v>
      </c>
      <c r="F47">
        <v>7</v>
      </c>
      <c r="G47">
        <v>41</v>
      </c>
      <c r="H47" t="str" cm="1">
        <f t="array" ref="H47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47" t="s">
        <v>15</v>
      </c>
      <c r="J47" t="s">
        <v>16</v>
      </c>
      <c r="K47" t="s">
        <v>17</v>
      </c>
      <c r="L47" s="3">
        <v>214.28571428571428</v>
      </c>
      <c r="M47" s="3">
        <v>1500</v>
      </c>
      <c r="N47" t="s">
        <v>238</v>
      </c>
      <c r="O47" s="3">
        <v>71.428571428571431</v>
      </c>
      <c r="P47" s="3">
        <v>500</v>
      </c>
    </row>
    <row r="48" spans="1:16" x14ac:dyDescent="0.3">
      <c r="A48">
        <v>47</v>
      </c>
      <c r="B48" t="s">
        <v>87</v>
      </c>
      <c r="C48" t="s">
        <v>97</v>
      </c>
      <c r="D48" t="str" cm="1">
        <f t="array" ref="D48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Asia</v>
      </c>
      <c r="E48" s="13">
        <v>45047</v>
      </c>
      <c r="F48">
        <v>6</v>
      </c>
      <c r="G48">
        <v>29</v>
      </c>
      <c r="H48" t="str" cm="1">
        <f t="array" ref="H48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48" t="s">
        <v>21</v>
      </c>
      <c r="J48" t="s">
        <v>89</v>
      </c>
      <c r="K48" t="s">
        <v>34</v>
      </c>
      <c r="L48" s="3">
        <v>83.333333333333329</v>
      </c>
      <c r="M48" s="3">
        <v>500</v>
      </c>
      <c r="N48" t="s">
        <v>81</v>
      </c>
      <c r="O48" s="3">
        <v>8.3333333333333339</v>
      </c>
      <c r="P48" s="3">
        <v>50</v>
      </c>
    </row>
    <row r="49" spans="1:16" x14ac:dyDescent="0.3">
      <c r="A49">
        <v>48</v>
      </c>
      <c r="B49" t="s">
        <v>266</v>
      </c>
      <c r="C49" t="s">
        <v>116</v>
      </c>
      <c r="D49" t="str" cm="1">
        <f t="array" ref="D49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North America</v>
      </c>
      <c r="E49" s="13">
        <v>44752</v>
      </c>
      <c r="F49">
        <v>7</v>
      </c>
      <c r="G49">
        <v>24</v>
      </c>
      <c r="H49" t="str" cm="1">
        <f t="array" ref="H49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49" t="s">
        <v>15</v>
      </c>
      <c r="J49" t="s">
        <v>26</v>
      </c>
      <c r="K49" t="s">
        <v>41</v>
      </c>
      <c r="L49" s="3">
        <v>57.142857142857146</v>
      </c>
      <c r="M49" s="3">
        <v>400</v>
      </c>
      <c r="N49" t="s">
        <v>141</v>
      </c>
      <c r="O49" s="3">
        <v>21.428571428571427</v>
      </c>
      <c r="P49" s="3">
        <v>150</v>
      </c>
    </row>
    <row r="50" spans="1:16" x14ac:dyDescent="0.3">
      <c r="A50">
        <v>49</v>
      </c>
      <c r="B50" t="s">
        <v>209</v>
      </c>
      <c r="C50" t="s">
        <v>282</v>
      </c>
      <c r="D50" t="str" cm="1">
        <f t="array" ref="D50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Europe</v>
      </c>
      <c r="E50" s="13">
        <v>45097</v>
      </c>
      <c r="F50">
        <v>8</v>
      </c>
      <c r="G50">
        <v>31</v>
      </c>
      <c r="H50" t="str" cm="1">
        <f t="array" ref="H50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50" t="s">
        <v>21</v>
      </c>
      <c r="J50" t="s">
        <v>47</v>
      </c>
      <c r="K50" t="s">
        <v>17</v>
      </c>
      <c r="L50" s="3">
        <v>137.5</v>
      </c>
      <c r="M50" s="3">
        <v>1100</v>
      </c>
      <c r="N50" t="s">
        <v>238</v>
      </c>
      <c r="O50" s="3">
        <v>87.5</v>
      </c>
      <c r="P50" s="3">
        <v>700</v>
      </c>
    </row>
    <row r="51" spans="1:16" x14ac:dyDescent="0.3">
      <c r="A51">
        <v>50</v>
      </c>
      <c r="B51" t="s">
        <v>70</v>
      </c>
      <c r="C51" t="s">
        <v>99</v>
      </c>
      <c r="D51" t="str" cm="1">
        <f t="array" ref="D51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Europe</v>
      </c>
      <c r="E51" s="13">
        <v>45153</v>
      </c>
      <c r="F51">
        <v>7</v>
      </c>
      <c r="G51">
        <v>31</v>
      </c>
      <c r="H51" t="str" cm="1">
        <f t="array" ref="H51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51" t="s">
        <v>21</v>
      </c>
      <c r="J51" t="s">
        <v>22</v>
      </c>
      <c r="K51" t="s">
        <v>17</v>
      </c>
      <c r="L51" s="3">
        <v>171.42857142857142</v>
      </c>
      <c r="M51" s="3">
        <v>1200</v>
      </c>
      <c r="N51" t="s">
        <v>141</v>
      </c>
      <c r="O51" s="3">
        <v>42.857142857142854</v>
      </c>
      <c r="P51" s="3">
        <v>300</v>
      </c>
    </row>
    <row r="52" spans="1:16" x14ac:dyDescent="0.3">
      <c r="A52">
        <v>51</v>
      </c>
      <c r="B52" t="s">
        <v>76</v>
      </c>
      <c r="C52" t="s">
        <v>95</v>
      </c>
      <c r="D52" t="str" cm="1">
        <f t="array" ref="D52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Asia</v>
      </c>
      <c r="E52" s="13">
        <v>45209</v>
      </c>
      <c r="F52">
        <v>10</v>
      </c>
      <c r="G52">
        <v>25</v>
      </c>
      <c r="H52" t="str" cm="1">
        <f t="array" ref="H52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52" t="s">
        <v>15</v>
      </c>
      <c r="J52" t="s">
        <v>16</v>
      </c>
      <c r="K52" t="s">
        <v>41</v>
      </c>
      <c r="L52" s="3">
        <v>50</v>
      </c>
      <c r="M52" s="3">
        <v>500</v>
      </c>
      <c r="N52" t="s">
        <v>81</v>
      </c>
      <c r="O52" s="3">
        <v>10</v>
      </c>
      <c r="P52" s="3">
        <v>100</v>
      </c>
    </row>
    <row r="53" spans="1:16" x14ac:dyDescent="0.3">
      <c r="A53">
        <v>52</v>
      </c>
      <c r="B53" t="s">
        <v>82</v>
      </c>
      <c r="C53" t="s">
        <v>102</v>
      </c>
      <c r="D53" t="str" cm="1">
        <f t="array" ref="D53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Oceania</v>
      </c>
      <c r="E53" s="13">
        <v>45235</v>
      </c>
      <c r="F53">
        <v>7</v>
      </c>
      <c r="G53">
        <v>27</v>
      </c>
      <c r="H53" t="str" cm="1">
        <f t="array" ref="H53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53" t="s">
        <v>21</v>
      </c>
      <c r="J53" t="s">
        <v>133</v>
      </c>
      <c r="K53" t="s">
        <v>34</v>
      </c>
      <c r="L53" s="3">
        <v>128.57142857142858</v>
      </c>
      <c r="M53" s="3">
        <v>900</v>
      </c>
      <c r="N53" t="s">
        <v>172</v>
      </c>
      <c r="O53" s="3">
        <v>28.571428571428573</v>
      </c>
      <c r="P53" s="3">
        <v>200</v>
      </c>
    </row>
    <row r="54" spans="1:16" x14ac:dyDescent="0.3">
      <c r="A54">
        <v>53</v>
      </c>
      <c r="B54" t="s">
        <v>79</v>
      </c>
      <c r="C54" t="s">
        <v>197</v>
      </c>
      <c r="D54" t="str" cm="1">
        <f t="array" ref="D54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North America</v>
      </c>
      <c r="E54" s="13">
        <v>45284</v>
      </c>
      <c r="F54">
        <v>7</v>
      </c>
      <c r="G54">
        <v>28</v>
      </c>
      <c r="H54" t="str" cm="1">
        <f t="array" ref="H54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54" t="s">
        <v>21</v>
      </c>
      <c r="J54" t="s">
        <v>22</v>
      </c>
      <c r="K54" t="s">
        <v>17</v>
      </c>
      <c r="L54" s="3">
        <v>200</v>
      </c>
      <c r="M54" s="3">
        <v>1400</v>
      </c>
      <c r="N54" t="s">
        <v>238</v>
      </c>
      <c r="O54" s="3">
        <v>114.28571428571429</v>
      </c>
      <c r="P54" s="3">
        <v>800</v>
      </c>
    </row>
    <row r="55" spans="1:16" x14ac:dyDescent="0.3">
      <c r="A55">
        <v>54</v>
      </c>
      <c r="B55" t="s">
        <v>206</v>
      </c>
      <c r="C55" t="s">
        <v>104</v>
      </c>
      <c r="D55" t="str" cm="1">
        <f t="array" ref="D55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South America</v>
      </c>
      <c r="E55" s="13">
        <v>45306</v>
      </c>
      <c r="F55">
        <v>9</v>
      </c>
      <c r="G55">
        <v>30</v>
      </c>
      <c r="H55" t="str" cm="1">
        <f t="array" ref="H55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55" t="s">
        <v>15</v>
      </c>
      <c r="J55" t="s">
        <v>44</v>
      </c>
      <c r="K55" t="s">
        <v>34</v>
      </c>
      <c r="L55" s="3">
        <v>88.888888888888886</v>
      </c>
      <c r="M55" s="3">
        <v>800</v>
      </c>
      <c r="N55" t="s">
        <v>141</v>
      </c>
      <c r="O55" s="3">
        <v>16.666666666666668</v>
      </c>
      <c r="P55" s="3">
        <v>150</v>
      </c>
    </row>
    <row r="56" spans="1:16" x14ac:dyDescent="0.3">
      <c r="A56">
        <v>55</v>
      </c>
      <c r="B56" t="s">
        <v>87</v>
      </c>
      <c r="C56" t="s">
        <v>97</v>
      </c>
      <c r="D56" t="str" cm="1">
        <f t="array" ref="D56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Asia</v>
      </c>
      <c r="E56" s="13">
        <v>45323</v>
      </c>
      <c r="F56">
        <v>8</v>
      </c>
      <c r="G56">
        <v>23</v>
      </c>
      <c r="H56" t="str" cm="1">
        <f t="array" ref="H56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56" t="s">
        <v>21</v>
      </c>
      <c r="J56" t="s">
        <v>89</v>
      </c>
      <c r="K56" t="s">
        <v>41</v>
      </c>
      <c r="L56" s="3">
        <v>50</v>
      </c>
      <c r="M56" s="3">
        <v>400</v>
      </c>
      <c r="N56" t="s">
        <v>81</v>
      </c>
      <c r="O56" s="3">
        <v>6.25</v>
      </c>
      <c r="P56" s="3">
        <v>50</v>
      </c>
    </row>
    <row r="57" spans="1:16" x14ac:dyDescent="0.3">
      <c r="A57">
        <v>56</v>
      </c>
      <c r="B57" t="s">
        <v>74</v>
      </c>
      <c r="C57" t="s">
        <v>200</v>
      </c>
      <c r="D57" t="str" cm="1">
        <f t="array" ref="D57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Europe</v>
      </c>
      <c r="E57" s="13">
        <v>45366</v>
      </c>
      <c r="F57">
        <v>8</v>
      </c>
      <c r="G57">
        <v>35</v>
      </c>
      <c r="H57" t="str" cm="1">
        <f t="array" ref="H57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57" t="s">
        <v>15</v>
      </c>
      <c r="J57" t="s">
        <v>30</v>
      </c>
      <c r="K57" t="s">
        <v>17</v>
      </c>
      <c r="L57" s="3">
        <v>125</v>
      </c>
      <c r="M57" s="3">
        <v>1000</v>
      </c>
      <c r="N57" t="s">
        <v>141</v>
      </c>
      <c r="O57" s="3">
        <v>25</v>
      </c>
      <c r="P57" s="3">
        <v>200</v>
      </c>
    </row>
    <row r="58" spans="1:16" x14ac:dyDescent="0.3">
      <c r="A58">
        <v>57</v>
      </c>
      <c r="B58" t="s">
        <v>93</v>
      </c>
      <c r="C58" t="s">
        <v>114</v>
      </c>
      <c r="D58" t="str" cm="1">
        <f t="array" ref="D58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Europe</v>
      </c>
      <c r="E58" s="13">
        <v>45387</v>
      </c>
      <c r="F58">
        <v>8</v>
      </c>
      <c r="G58">
        <v>29</v>
      </c>
      <c r="H58" t="str" cm="1">
        <f t="array" ref="H58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58" t="s">
        <v>21</v>
      </c>
      <c r="J58" t="s">
        <v>56</v>
      </c>
      <c r="K58" t="s">
        <v>34</v>
      </c>
      <c r="L58" s="3">
        <v>87.5</v>
      </c>
      <c r="M58" s="3">
        <v>700</v>
      </c>
      <c r="N58" t="s">
        <v>172</v>
      </c>
      <c r="O58" s="3">
        <v>31.25</v>
      </c>
      <c r="P58" s="3">
        <v>250</v>
      </c>
    </row>
    <row r="59" spans="1:16" x14ac:dyDescent="0.3">
      <c r="A59">
        <v>58</v>
      </c>
      <c r="B59" t="s">
        <v>194</v>
      </c>
      <c r="C59" t="s">
        <v>199</v>
      </c>
      <c r="D59" t="str" cm="1">
        <f t="array" ref="D59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Asia</v>
      </c>
      <c r="E59" s="13">
        <v>45422</v>
      </c>
      <c r="F59">
        <v>8</v>
      </c>
      <c r="G59">
        <v>27</v>
      </c>
      <c r="H59" t="str" cm="1">
        <f t="array" ref="H59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59" t="s">
        <v>15</v>
      </c>
      <c r="J59" t="s">
        <v>133</v>
      </c>
      <c r="K59" t="s">
        <v>41</v>
      </c>
      <c r="L59" s="3">
        <v>62.5</v>
      </c>
      <c r="M59" s="3">
        <v>500</v>
      </c>
      <c r="N59" t="s">
        <v>141</v>
      </c>
      <c r="O59" s="3">
        <v>2.5</v>
      </c>
      <c r="P59" s="3">
        <v>20</v>
      </c>
    </row>
    <row r="60" spans="1:16" x14ac:dyDescent="0.3">
      <c r="A60">
        <v>59</v>
      </c>
      <c r="B60" t="s">
        <v>267</v>
      </c>
      <c r="C60" t="s">
        <v>197</v>
      </c>
      <c r="D60" t="str" cm="1">
        <f t="array" ref="D60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North America</v>
      </c>
      <c r="E60" s="13">
        <v>45463</v>
      </c>
      <c r="F60">
        <v>7</v>
      </c>
      <c r="G60">
        <v>26</v>
      </c>
      <c r="H60" t="str" cm="1">
        <f t="array" ref="H60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60" t="s">
        <v>15</v>
      </c>
      <c r="J60" t="s">
        <v>59</v>
      </c>
      <c r="K60" t="s">
        <v>17</v>
      </c>
      <c r="L60" s="3">
        <v>171.42857142857142</v>
      </c>
      <c r="M60" s="3">
        <v>1200</v>
      </c>
      <c r="N60" t="s">
        <v>172</v>
      </c>
      <c r="O60" s="3">
        <v>42.857142857142854</v>
      </c>
      <c r="P60" s="3">
        <v>300</v>
      </c>
    </row>
    <row r="61" spans="1:16" x14ac:dyDescent="0.3">
      <c r="A61">
        <v>60</v>
      </c>
      <c r="B61" t="s">
        <v>84</v>
      </c>
      <c r="C61" t="s">
        <v>112</v>
      </c>
      <c r="D61" t="str" cm="1">
        <f t="array" ref="D61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Europe</v>
      </c>
      <c r="E61" s="13">
        <v>45488</v>
      </c>
      <c r="F61">
        <v>8</v>
      </c>
      <c r="G61">
        <v>33</v>
      </c>
      <c r="H61" t="str" cm="1">
        <f t="array" ref="H61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61" t="s">
        <v>21</v>
      </c>
      <c r="J61" t="s">
        <v>86</v>
      </c>
      <c r="K61" t="s">
        <v>34</v>
      </c>
      <c r="L61" s="3">
        <v>100</v>
      </c>
      <c r="M61" s="3">
        <v>800</v>
      </c>
      <c r="N61" t="s">
        <v>141</v>
      </c>
      <c r="O61" s="3">
        <v>12.5</v>
      </c>
      <c r="P61" s="3">
        <v>100</v>
      </c>
    </row>
    <row r="62" spans="1:16" x14ac:dyDescent="0.3">
      <c r="A62">
        <v>61</v>
      </c>
      <c r="B62" t="s">
        <v>70</v>
      </c>
      <c r="C62" t="s">
        <v>99</v>
      </c>
      <c r="D62" t="str" cm="1">
        <f t="array" ref="D62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Europe</v>
      </c>
      <c r="E62" s="13">
        <v>44754</v>
      </c>
      <c r="F62">
        <v>6</v>
      </c>
      <c r="G62">
        <v>35</v>
      </c>
      <c r="H62" t="str" cm="1">
        <f t="array" ref="H62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62" t="s">
        <v>21</v>
      </c>
      <c r="J62" t="s">
        <v>16</v>
      </c>
      <c r="K62" t="s">
        <v>17</v>
      </c>
      <c r="L62" s="3">
        <v>200</v>
      </c>
      <c r="M62" s="3">
        <v>1200</v>
      </c>
      <c r="N62" t="s">
        <v>238</v>
      </c>
      <c r="O62" s="3">
        <v>133.33333333333334</v>
      </c>
      <c r="P62" s="3">
        <v>800</v>
      </c>
    </row>
    <row r="63" spans="1:16" x14ac:dyDescent="0.3">
      <c r="A63">
        <v>62</v>
      </c>
      <c r="B63" t="s">
        <v>76</v>
      </c>
      <c r="C63" t="s">
        <v>95</v>
      </c>
      <c r="D63" t="str" cm="1">
        <f t="array" ref="D63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Asia</v>
      </c>
      <c r="E63" s="13">
        <v>44807</v>
      </c>
      <c r="F63">
        <v>7</v>
      </c>
      <c r="G63">
        <v>28</v>
      </c>
      <c r="H63" t="str" cm="1">
        <f t="array" ref="H63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63" t="s">
        <v>15</v>
      </c>
      <c r="J63" t="s">
        <v>78</v>
      </c>
      <c r="K63" t="s">
        <v>41</v>
      </c>
      <c r="L63" s="3">
        <v>57.142857142857146</v>
      </c>
      <c r="M63" s="3">
        <v>400</v>
      </c>
      <c r="N63" t="s">
        <v>141</v>
      </c>
      <c r="O63" s="3">
        <v>42.857142857142854</v>
      </c>
      <c r="P63" s="3">
        <v>300</v>
      </c>
    </row>
    <row r="64" spans="1:16" x14ac:dyDescent="0.3">
      <c r="A64">
        <v>63</v>
      </c>
      <c r="B64" t="s">
        <v>147</v>
      </c>
      <c r="C64" t="s">
        <v>271</v>
      </c>
      <c r="D64" t="str" cm="1">
        <f t="array" ref="D64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Africa</v>
      </c>
      <c r="E64" s="13">
        <v>44933</v>
      </c>
      <c r="F64">
        <v>9</v>
      </c>
      <c r="G64">
        <v>29</v>
      </c>
      <c r="H64" t="str" cm="1">
        <f t="array" ref="H64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64" t="s">
        <v>21</v>
      </c>
      <c r="J64" t="s">
        <v>30</v>
      </c>
      <c r="K64" t="s">
        <v>34</v>
      </c>
      <c r="L64" s="3">
        <v>88.888888888888886</v>
      </c>
      <c r="M64" s="3">
        <v>800</v>
      </c>
      <c r="N64" t="s">
        <v>172</v>
      </c>
      <c r="O64" s="3">
        <v>22.222222222222221</v>
      </c>
      <c r="P64" s="3">
        <v>200</v>
      </c>
    </row>
    <row r="65" spans="1:16" x14ac:dyDescent="0.3">
      <c r="A65">
        <v>64</v>
      </c>
      <c r="B65" t="s">
        <v>82</v>
      </c>
      <c r="C65" t="s">
        <v>102</v>
      </c>
      <c r="D65" t="str" cm="1">
        <f t="array" ref="D65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Oceania</v>
      </c>
      <c r="E65" s="13">
        <v>45100</v>
      </c>
      <c r="F65">
        <v>6</v>
      </c>
      <c r="G65">
        <v>43</v>
      </c>
      <c r="H65" t="str" cm="1">
        <f t="array" ref="H65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65" t="s">
        <v>15</v>
      </c>
      <c r="J65" t="s">
        <v>40</v>
      </c>
      <c r="K65" t="s">
        <v>17</v>
      </c>
      <c r="L65" s="3">
        <v>250</v>
      </c>
      <c r="M65" s="3">
        <v>1500</v>
      </c>
      <c r="N65" t="s">
        <v>238</v>
      </c>
      <c r="O65" s="3">
        <v>200</v>
      </c>
      <c r="P65" s="3">
        <v>1200</v>
      </c>
    </row>
    <row r="66" spans="1:16" x14ac:dyDescent="0.3">
      <c r="A66">
        <v>65</v>
      </c>
      <c r="B66" t="s">
        <v>93</v>
      </c>
      <c r="C66" t="s">
        <v>114</v>
      </c>
      <c r="D66" t="str" cm="1">
        <f t="array" ref="D66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Europe</v>
      </c>
      <c r="E66" s="13">
        <v>45156</v>
      </c>
      <c r="F66">
        <v>7</v>
      </c>
      <c r="G66">
        <v>31</v>
      </c>
      <c r="H66" t="str" cm="1">
        <f t="array" ref="H66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66" t="s">
        <v>21</v>
      </c>
      <c r="J66" t="s">
        <v>56</v>
      </c>
      <c r="K66" t="s">
        <v>17</v>
      </c>
      <c r="L66" s="3">
        <v>128.57142857142858</v>
      </c>
      <c r="M66" s="3">
        <v>900</v>
      </c>
      <c r="N66" t="s">
        <v>238</v>
      </c>
      <c r="O66" s="3">
        <v>100</v>
      </c>
      <c r="P66" s="3">
        <v>700</v>
      </c>
    </row>
    <row r="67" spans="1:16" x14ac:dyDescent="0.3">
      <c r="A67">
        <v>66</v>
      </c>
      <c r="B67" t="s">
        <v>72</v>
      </c>
      <c r="C67" t="s">
        <v>281</v>
      </c>
      <c r="D67" t="str" cm="1">
        <f t="array" ref="D67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Asia</v>
      </c>
      <c r="E67" s="13">
        <v>45323</v>
      </c>
      <c r="F67">
        <v>7</v>
      </c>
      <c r="G67">
        <v>27</v>
      </c>
      <c r="H67" t="str" cm="1">
        <f t="array" ref="H67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67" t="s">
        <v>15</v>
      </c>
      <c r="J67" t="s">
        <v>16</v>
      </c>
      <c r="K67" t="s">
        <v>23</v>
      </c>
      <c r="L67" s="3">
        <v>314.28571428571428</v>
      </c>
      <c r="M67" s="3">
        <v>2200</v>
      </c>
      <c r="N67" t="s">
        <v>238</v>
      </c>
      <c r="O67" s="3">
        <v>142.85714285714286</v>
      </c>
      <c r="P67" s="3">
        <v>1000</v>
      </c>
    </row>
    <row r="68" spans="1:16" x14ac:dyDescent="0.3">
      <c r="A68">
        <v>67</v>
      </c>
      <c r="B68" t="s">
        <v>70</v>
      </c>
      <c r="C68" t="s">
        <v>99</v>
      </c>
      <c r="D68" t="str" cm="1">
        <f t="array" ref="D68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Europe</v>
      </c>
      <c r="E68" s="13">
        <v>45418</v>
      </c>
      <c r="F68">
        <v>6</v>
      </c>
      <c r="G68">
        <v>39</v>
      </c>
      <c r="H68" t="str" cm="1">
        <f t="array" ref="H68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68" t="s">
        <v>21</v>
      </c>
      <c r="J68" t="s">
        <v>153</v>
      </c>
      <c r="K68" t="s">
        <v>17</v>
      </c>
      <c r="L68" s="3">
        <v>183.33333333333334</v>
      </c>
      <c r="M68" s="3">
        <v>1100</v>
      </c>
      <c r="N68" t="s">
        <v>141</v>
      </c>
      <c r="O68" s="3">
        <v>33.333333333333336</v>
      </c>
      <c r="P68" s="3">
        <v>200</v>
      </c>
    </row>
    <row r="69" spans="1:16" x14ac:dyDescent="0.3">
      <c r="A69">
        <v>68</v>
      </c>
      <c r="B69" t="s">
        <v>79</v>
      </c>
      <c r="C69" t="s">
        <v>197</v>
      </c>
      <c r="D69" t="str" cm="1">
        <f t="array" ref="D69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North America</v>
      </c>
      <c r="E69" s="13">
        <v>45493</v>
      </c>
      <c r="F69">
        <v>6</v>
      </c>
      <c r="G69">
        <v>25</v>
      </c>
      <c r="H69" t="str" cm="1">
        <f t="array" ref="H69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69" t="s">
        <v>15</v>
      </c>
      <c r="J69" t="s">
        <v>16</v>
      </c>
      <c r="K69" t="s">
        <v>34</v>
      </c>
      <c r="L69" s="3">
        <v>166.66666666666666</v>
      </c>
      <c r="M69" s="3">
        <v>1000</v>
      </c>
      <c r="N69" t="s">
        <v>238</v>
      </c>
      <c r="O69" s="3">
        <v>133.33333333333334</v>
      </c>
      <c r="P69" s="3">
        <v>800</v>
      </c>
    </row>
    <row r="70" spans="1:16" x14ac:dyDescent="0.3">
      <c r="A70">
        <v>69</v>
      </c>
      <c r="B70" t="s">
        <v>87</v>
      </c>
      <c r="C70" t="s">
        <v>97</v>
      </c>
      <c r="D70" t="str" cm="1">
        <f t="array" ref="D70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Asia</v>
      </c>
      <c r="E70" s="13">
        <v>45543</v>
      </c>
      <c r="F70">
        <v>8</v>
      </c>
      <c r="G70">
        <v>33</v>
      </c>
      <c r="H70" t="str" cm="1">
        <f t="array" ref="H70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70" t="s">
        <v>21</v>
      </c>
      <c r="J70" t="s">
        <v>89</v>
      </c>
      <c r="K70" t="s">
        <v>41</v>
      </c>
      <c r="L70" s="3">
        <v>37.5</v>
      </c>
      <c r="M70" s="3">
        <v>300</v>
      </c>
      <c r="N70" t="s">
        <v>238</v>
      </c>
      <c r="O70" s="3">
        <v>87.5</v>
      </c>
      <c r="P70" s="3">
        <v>700</v>
      </c>
    </row>
    <row r="71" spans="1:16" x14ac:dyDescent="0.3">
      <c r="A71">
        <v>70</v>
      </c>
      <c r="B71" t="s">
        <v>84</v>
      </c>
      <c r="C71" t="s">
        <v>112</v>
      </c>
      <c r="D71" t="str" cm="1">
        <f t="array" ref="D71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Europe</v>
      </c>
      <c r="E71" s="13">
        <v>45702</v>
      </c>
      <c r="F71">
        <v>6</v>
      </c>
      <c r="G71">
        <v>41</v>
      </c>
      <c r="H71" t="str" cm="1">
        <f t="array" ref="H71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71" t="s">
        <v>15</v>
      </c>
      <c r="J71" t="s">
        <v>86</v>
      </c>
      <c r="K71" t="s">
        <v>17</v>
      </c>
      <c r="L71" s="3">
        <v>216.66666666666666</v>
      </c>
      <c r="M71" s="3">
        <v>1300</v>
      </c>
      <c r="N71" t="s">
        <v>141</v>
      </c>
      <c r="O71" s="3">
        <v>16.666666666666668</v>
      </c>
      <c r="P71" s="3">
        <v>100</v>
      </c>
    </row>
    <row r="72" spans="1:16" x14ac:dyDescent="0.3">
      <c r="A72">
        <v>71</v>
      </c>
      <c r="B72" t="s">
        <v>72</v>
      </c>
      <c r="C72" t="s">
        <v>281</v>
      </c>
      <c r="D72" t="str" cm="1">
        <f t="array" ref="D72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Asia</v>
      </c>
      <c r="E72" s="13">
        <v>45798</v>
      </c>
      <c r="F72">
        <v>8</v>
      </c>
      <c r="G72">
        <v>37</v>
      </c>
      <c r="H72" t="str" cm="1">
        <f t="array" ref="H72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72" t="s">
        <v>21</v>
      </c>
      <c r="J72" t="s">
        <v>30</v>
      </c>
      <c r="K72" t="s">
        <v>23</v>
      </c>
      <c r="L72" s="3">
        <v>225</v>
      </c>
      <c r="M72" s="3">
        <v>1800</v>
      </c>
      <c r="N72" t="s">
        <v>238</v>
      </c>
      <c r="O72" s="3">
        <v>125</v>
      </c>
      <c r="P72" s="3">
        <v>1000</v>
      </c>
    </row>
    <row r="73" spans="1:16" x14ac:dyDescent="0.3">
      <c r="A73">
        <v>72</v>
      </c>
      <c r="B73" t="s">
        <v>72</v>
      </c>
      <c r="C73" t="s">
        <v>281</v>
      </c>
      <c r="D73" t="str" cm="1">
        <f t="array" ref="D73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Asia</v>
      </c>
      <c r="E73" s="13">
        <v>44778</v>
      </c>
      <c r="F73">
        <v>7</v>
      </c>
      <c r="G73">
        <v>35</v>
      </c>
      <c r="H73" t="str" cm="1">
        <f t="array" ref="H73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73" t="s">
        <v>21</v>
      </c>
      <c r="J73" t="s">
        <v>133</v>
      </c>
      <c r="K73" t="s">
        <v>23</v>
      </c>
      <c r="L73" s="3">
        <v>71.428571428571431</v>
      </c>
      <c r="M73" s="3">
        <v>500</v>
      </c>
      <c r="N73" t="s">
        <v>238</v>
      </c>
      <c r="O73" s="3">
        <v>114.28571428571429</v>
      </c>
      <c r="P73" s="3">
        <v>800</v>
      </c>
    </row>
    <row r="74" spans="1:16" x14ac:dyDescent="0.3">
      <c r="A74">
        <v>73</v>
      </c>
      <c r="B74" t="s">
        <v>76</v>
      </c>
      <c r="C74" t="s">
        <v>95</v>
      </c>
      <c r="D74" t="str" cm="1">
        <f t="array" ref="D74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Asia</v>
      </c>
      <c r="E74" s="13">
        <v>44927</v>
      </c>
      <c r="F74">
        <v>8</v>
      </c>
      <c r="G74">
        <v>29</v>
      </c>
      <c r="H74" t="str" cm="1">
        <f t="array" ref="H74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74" t="s">
        <v>15</v>
      </c>
      <c r="J74" t="s">
        <v>16</v>
      </c>
      <c r="K74" t="s">
        <v>17</v>
      </c>
      <c r="L74" s="3">
        <v>125</v>
      </c>
      <c r="M74" s="3">
        <v>1000</v>
      </c>
      <c r="N74" t="s">
        <v>141</v>
      </c>
      <c r="O74" s="3">
        <v>25</v>
      </c>
      <c r="P74" s="3">
        <v>200</v>
      </c>
    </row>
    <row r="75" spans="1:16" x14ac:dyDescent="0.3">
      <c r="A75">
        <v>74</v>
      </c>
      <c r="B75" t="s">
        <v>260</v>
      </c>
      <c r="C75" t="s">
        <v>110</v>
      </c>
      <c r="D75" t="str" cm="1">
        <f t="array" ref="D75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North America</v>
      </c>
      <c r="E75" s="13">
        <v>45031</v>
      </c>
      <c r="F75">
        <v>7</v>
      </c>
      <c r="G75">
        <v>42</v>
      </c>
      <c r="H75" t="str" cm="1">
        <f t="array" ref="H75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75" t="s">
        <v>21</v>
      </c>
      <c r="J75" t="s">
        <v>53</v>
      </c>
      <c r="K75" t="s">
        <v>23</v>
      </c>
      <c r="L75" s="3">
        <v>114.28571428571429</v>
      </c>
      <c r="M75" s="3">
        <v>800</v>
      </c>
      <c r="N75" t="s">
        <v>238</v>
      </c>
      <c r="O75" s="3">
        <v>71.428571428571431</v>
      </c>
      <c r="P75" s="3">
        <v>500</v>
      </c>
    </row>
    <row r="76" spans="1:16" x14ac:dyDescent="0.3">
      <c r="A76">
        <v>75</v>
      </c>
      <c r="B76" t="s">
        <v>70</v>
      </c>
      <c r="C76" t="s">
        <v>99</v>
      </c>
      <c r="D76" t="str" cm="1">
        <f t="array" ref="D76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Europe</v>
      </c>
      <c r="E76" s="13">
        <v>45084</v>
      </c>
      <c r="F76">
        <v>7</v>
      </c>
      <c r="G76">
        <v>46</v>
      </c>
      <c r="H76" t="str" cm="1">
        <f t="array" ref="H76">_xlfn.IFS(IF(OR(Table1[[#This Row],[Age]] &gt;= 17), Table1[[#This Row],[Age]] &lt; 30),"Young",IF(OR(Table1[[#This Row],[Age]] &gt;= 30), Table1[[#This Row],[Age]] &lt; 45),"Middle-Aged",Table1[[#This Row],[Age]] &gt;= 45,"Old")</f>
        <v>Old</v>
      </c>
      <c r="I76" t="s">
        <v>15</v>
      </c>
      <c r="J76" t="s">
        <v>30</v>
      </c>
      <c r="K76" t="s">
        <v>17</v>
      </c>
      <c r="L76" s="3">
        <v>171.42857142857142</v>
      </c>
      <c r="M76" s="3">
        <v>1200</v>
      </c>
      <c r="N76" t="s">
        <v>238</v>
      </c>
      <c r="O76" s="3">
        <v>100</v>
      </c>
      <c r="P76" s="3">
        <v>700</v>
      </c>
    </row>
    <row r="77" spans="1:16" x14ac:dyDescent="0.3">
      <c r="A77">
        <v>76</v>
      </c>
      <c r="B77" t="s">
        <v>147</v>
      </c>
      <c r="C77" t="s">
        <v>271</v>
      </c>
      <c r="D77" t="str" cm="1">
        <f t="array" ref="D77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Africa</v>
      </c>
      <c r="E77" s="13">
        <v>45170</v>
      </c>
      <c r="F77">
        <v>9</v>
      </c>
      <c r="G77">
        <v>31</v>
      </c>
      <c r="H77" t="str" cm="1">
        <f t="array" ref="H77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77" t="s">
        <v>15</v>
      </c>
      <c r="J77" t="s">
        <v>169</v>
      </c>
      <c r="K77" t="s">
        <v>170</v>
      </c>
      <c r="L77" s="3">
        <v>44.444444444444443</v>
      </c>
      <c r="M77" s="3">
        <v>400</v>
      </c>
      <c r="N77" t="s">
        <v>172</v>
      </c>
      <c r="O77" s="3">
        <v>33.333333333333336</v>
      </c>
      <c r="P77" s="3">
        <v>300</v>
      </c>
    </row>
    <row r="78" spans="1:16" x14ac:dyDescent="0.3">
      <c r="A78">
        <v>77</v>
      </c>
      <c r="B78" t="s">
        <v>72</v>
      </c>
      <c r="C78" t="s">
        <v>281</v>
      </c>
      <c r="D78" t="str" cm="1">
        <f t="array" ref="D78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Asia</v>
      </c>
      <c r="E78" s="13">
        <v>45242</v>
      </c>
      <c r="F78">
        <v>7</v>
      </c>
      <c r="G78">
        <v>25</v>
      </c>
      <c r="H78" t="str" cm="1">
        <f t="array" ref="H78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78" t="s">
        <v>21</v>
      </c>
      <c r="J78" t="s">
        <v>175</v>
      </c>
      <c r="K78" t="s">
        <v>23</v>
      </c>
      <c r="L78" s="3">
        <v>85.714285714285708</v>
      </c>
      <c r="M78" s="3">
        <v>600</v>
      </c>
      <c r="N78" t="s">
        <v>238</v>
      </c>
      <c r="O78" s="3">
        <v>100</v>
      </c>
      <c r="P78" s="3">
        <v>700</v>
      </c>
    </row>
    <row r="79" spans="1:16" x14ac:dyDescent="0.3">
      <c r="A79">
        <v>78</v>
      </c>
      <c r="B79" t="s">
        <v>82</v>
      </c>
      <c r="C79" t="s">
        <v>102</v>
      </c>
      <c r="D79" t="str" cm="1">
        <f t="array" ref="D79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Oceania</v>
      </c>
      <c r="E79" s="13">
        <v>45327</v>
      </c>
      <c r="F79">
        <v>7</v>
      </c>
      <c r="G79">
        <v>38</v>
      </c>
      <c r="H79" t="str" cm="1">
        <f t="array" ref="H79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79" t="s">
        <v>15</v>
      </c>
      <c r="J79" t="s">
        <v>40</v>
      </c>
      <c r="K79" t="s">
        <v>17</v>
      </c>
      <c r="L79" s="3">
        <v>128.57142857142858</v>
      </c>
      <c r="M79" s="3">
        <v>900</v>
      </c>
      <c r="N79" t="s">
        <v>238</v>
      </c>
      <c r="O79" s="3">
        <v>85.714285714285708</v>
      </c>
      <c r="P79" s="3">
        <v>600</v>
      </c>
    </row>
    <row r="80" spans="1:16" x14ac:dyDescent="0.3">
      <c r="A80">
        <v>79</v>
      </c>
      <c r="B80" t="s">
        <v>87</v>
      </c>
      <c r="C80" t="s">
        <v>97</v>
      </c>
      <c r="D80" t="str" cm="1">
        <f t="array" ref="D80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Asia</v>
      </c>
      <c r="E80" s="13">
        <v>45427</v>
      </c>
      <c r="F80">
        <v>7</v>
      </c>
      <c r="G80">
        <v>27</v>
      </c>
      <c r="H80" t="str" cm="1">
        <f t="array" ref="H80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80" t="s">
        <v>21</v>
      </c>
      <c r="J80" t="s">
        <v>26</v>
      </c>
      <c r="K80" t="s">
        <v>17</v>
      </c>
      <c r="L80" s="3">
        <v>57.142857142857146</v>
      </c>
      <c r="M80" s="3">
        <v>400</v>
      </c>
      <c r="N80" t="s">
        <v>238</v>
      </c>
      <c r="O80" s="3">
        <v>57.142857142857146</v>
      </c>
      <c r="P80" s="3">
        <v>400</v>
      </c>
    </row>
    <row r="81" spans="1:16" x14ac:dyDescent="0.3">
      <c r="A81">
        <v>80</v>
      </c>
      <c r="B81" t="s">
        <v>79</v>
      </c>
      <c r="C81" t="s">
        <v>197</v>
      </c>
      <c r="D81" t="str" cm="1">
        <f t="array" ref="D81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North America</v>
      </c>
      <c r="E81" s="13">
        <v>45524</v>
      </c>
      <c r="F81">
        <v>7</v>
      </c>
      <c r="G81">
        <v>60</v>
      </c>
      <c r="H81" t="str" cm="1">
        <f t="array" ref="H81">_xlfn.IFS(IF(OR(Table1[[#This Row],[Age]] &gt;= 17), Table1[[#This Row],[Age]] &lt; 30),"Young",IF(OR(Table1[[#This Row],[Age]] &gt;= 30), Table1[[#This Row],[Age]] &lt; 45),"Middle-Aged",Table1[[#This Row],[Age]] &gt;= 45,"Old")</f>
        <v>Old</v>
      </c>
      <c r="I81" t="s">
        <v>15</v>
      </c>
      <c r="J81" t="s">
        <v>16</v>
      </c>
      <c r="K81" t="s">
        <v>17</v>
      </c>
      <c r="L81" s="3">
        <v>214.28571428571428</v>
      </c>
      <c r="M81" s="3">
        <v>1500</v>
      </c>
      <c r="N81" t="s">
        <v>238</v>
      </c>
      <c r="O81" s="3">
        <v>142.85714285714286</v>
      </c>
      <c r="P81" s="3">
        <v>1000</v>
      </c>
    </row>
    <row r="82" spans="1:16" x14ac:dyDescent="0.3">
      <c r="A82">
        <v>81</v>
      </c>
      <c r="B82" t="s">
        <v>216</v>
      </c>
      <c r="C82" t="s">
        <v>97</v>
      </c>
      <c r="D82" t="str" cm="1">
        <f t="array" ref="D82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Asia</v>
      </c>
      <c r="E82" s="13">
        <v>45658</v>
      </c>
      <c r="F82">
        <v>7</v>
      </c>
      <c r="G82">
        <v>32</v>
      </c>
      <c r="H82" t="str" cm="1">
        <f t="array" ref="H82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82" t="s">
        <v>21</v>
      </c>
      <c r="J82" t="s">
        <v>30</v>
      </c>
      <c r="K82" t="s">
        <v>23</v>
      </c>
      <c r="L82" s="3">
        <v>100</v>
      </c>
      <c r="M82" s="3">
        <v>700</v>
      </c>
      <c r="N82" t="s">
        <v>238</v>
      </c>
      <c r="O82" s="3">
        <v>114.28571428571429</v>
      </c>
      <c r="P82" s="3">
        <v>800</v>
      </c>
    </row>
    <row r="83" spans="1:16" x14ac:dyDescent="0.3">
      <c r="A83">
        <v>82</v>
      </c>
      <c r="B83" t="s">
        <v>84</v>
      </c>
      <c r="C83" t="s">
        <v>112</v>
      </c>
      <c r="D83" t="str" cm="1">
        <f t="array" ref="D83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Europe</v>
      </c>
      <c r="E83" s="13">
        <v>45762</v>
      </c>
      <c r="F83">
        <v>7</v>
      </c>
      <c r="G83">
        <v>41</v>
      </c>
      <c r="H83" t="str" cm="1">
        <f t="array" ref="H83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83" t="s">
        <v>15</v>
      </c>
      <c r="J83" t="s">
        <v>16</v>
      </c>
      <c r="K83" t="s">
        <v>17</v>
      </c>
      <c r="L83" s="3">
        <v>14.285714285714286</v>
      </c>
      <c r="M83" s="3">
        <v>100</v>
      </c>
      <c r="N83" t="s">
        <v>238</v>
      </c>
      <c r="O83" s="3">
        <v>100</v>
      </c>
      <c r="P83" s="3">
        <v>700</v>
      </c>
    </row>
    <row r="84" spans="1:16" x14ac:dyDescent="0.3">
      <c r="A84">
        <v>83</v>
      </c>
      <c r="B84" t="s">
        <v>70</v>
      </c>
      <c r="C84" t="s">
        <v>99</v>
      </c>
      <c r="D84" t="str" cm="1">
        <f t="array" ref="D84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Europe</v>
      </c>
      <c r="E84" s="13">
        <v>44362</v>
      </c>
      <c r="F84">
        <v>6</v>
      </c>
      <c r="G84">
        <v>35</v>
      </c>
      <c r="H84" t="str" cm="1">
        <f t="array" ref="H84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84" t="s">
        <v>15</v>
      </c>
      <c r="J84" t="s">
        <v>16</v>
      </c>
      <c r="K84" t="s">
        <v>17</v>
      </c>
      <c r="L84" s="3">
        <v>133.33333333333334</v>
      </c>
      <c r="M84" s="3">
        <v>800</v>
      </c>
      <c r="N84" t="s">
        <v>238</v>
      </c>
      <c r="O84" s="3">
        <v>83.333333333333329</v>
      </c>
      <c r="P84" s="3">
        <v>500</v>
      </c>
    </row>
    <row r="85" spans="1:16" x14ac:dyDescent="0.3">
      <c r="A85">
        <v>84</v>
      </c>
      <c r="B85" t="s">
        <v>76</v>
      </c>
      <c r="C85" t="s">
        <v>95</v>
      </c>
      <c r="D85" t="str" cm="1">
        <f t="array" ref="D85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Asia</v>
      </c>
      <c r="E85" s="13">
        <v>44378</v>
      </c>
      <c r="F85">
        <v>10</v>
      </c>
      <c r="G85">
        <v>28</v>
      </c>
      <c r="H85" t="str" cm="1">
        <f t="array" ref="H85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85" t="s">
        <v>21</v>
      </c>
      <c r="J85" t="s">
        <v>26</v>
      </c>
      <c r="K85" t="s">
        <v>34</v>
      </c>
      <c r="L85" s="3">
        <v>50</v>
      </c>
      <c r="M85" s="3">
        <v>500</v>
      </c>
      <c r="N85" t="s">
        <v>141</v>
      </c>
      <c r="O85" s="3">
        <v>30</v>
      </c>
      <c r="P85" s="3">
        <v>300</v>
      </c>
    </row>
    <row r="86" spans="1:16" x14ac:dyDescent="0.3">
      <c r="A86">
        <v>85</v>
      </c>
      <c r="B86" t="s">
        <v>72</v>
      </c>
      <c r="C86" t="s">
        <v>281</v>
      </c>
      <c r="D86" t="str" cm="1">
        <f t="array" ref="D86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Asia</v>
      </c>
      <c r="E86" s="13">
        <v>44418</v>
      </c>
      <c r="F86">
        <v>11</v>
      </c>
      <c r="G86">
        <v>42</v>
      </c>
      <c r="H86" t="str" cm="1">
        <f t="array" ref="H86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86" t="s">
        <v>21</v>
      </c>
      <c r="J86" t="s">
        <v>56</v>
      </c>
      <c r="K86" t="s">
        <v>23</v>
      </c>
      <c r="L86" s="3">
        <v>109.09090909090909</v>
      </c>
      <c r="M86" s="3">
        <v>1200</v>
      </c>
      <c r="N86" t="s">
        <v>238</v>
      </c>
      <c r="O86" s="3">
        <v>63.636363636363633</v>
      </c>
      <c r="P86" s="3">
        <v>700</v>
      </c>
    </row>
    <row r="87" spans="1:16" x14ac:dyDescent="0.3">
      <c r="A87">
        <v>86</v>
      </c>
      <c r="B87" t="s">
        <v>82</v>
      </c>
      <c r="C87" t="s">
        <v>102</v>
      </c>
      <c r="D87" t="str" cm="1">
        <f t="array" ref="D87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Oceania</v>
      </c>
      <c r="E87" s="13">
        <v>44440</v>
      </c>
      <c r="F87">
        <v>9</v>
      </c>
      <c r="G87">
        <v>45</v>
      </c>
      <c r="H87" t="str" cm="1">
        <f t="array" ref="H87">_xlfn.IFS(IF(OR(Table1[[#This Row],[Age]] &gt;= 17), Table1[[#This Row],[Age]] &lt; 30),"Young",IF(OR(Table1[[#This Row],[Age]] &gt;= 30), Table1[[#This Row],[Age]] &lt; 45),"Middle-Aged",Table1[[#This Row],[Age]] &gt;= 45,"Old")</f>
        <v>Old</v>
      </c>
      <c r="I87" t="s">
        <v>15</v>
      </c>
      <c r="J87" t="s">
        <v>40</v>
      </c>
      <c r="K87" t="s">
        <v>17</v>
      </c>
      <c r="L87" s="3">
        <v>100</v>
      </c>
      <c r="M87" s="3">
        <v>900</v>
      </c>
      <c r="N87" t="s">
        <v>238</v>
      </c>
      <c r="O87" s="3">
        <v>66.666666666666671</v>
      </c>
      <c r="P87" s="3">
        <v>600</v>
      </c>
    </row>
    <row r="88" spans="1:16" x14ac:dyDescent="0.3">
      <c r="A88">
        <v>87</v>
      </c>
      <c r="B88" t="s">
        <v>79</v>
      </c>
      <c r="C88" t="s">
        <v>197</v>
      </c>
      <c r="D88" t="str" cm="1">
        <f t="array" ref="D88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North America</v>
      </c>
      <c r="E88" s="13">
        <v>44484</v>
      </c>
      <c r="F88">
        <v>6</v>
      </c>
      <c r="G88">
        <v>31</v>
      </c>
      <c r="H88" t="str" cm="1">
        <f t="array" ref="H88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88" t="s">
        <v>21</v>
      </c>
      <c r="J88" t="s">
        <v>16</v>
      </c>
      <c r="K88" t="s">
        <v>34</v>
      </c>
      <c r="L88" s="3">
        <v>116.66666666666667</v>
      </c>
      <c r="M88" s="3">
        <v>700</v>
      </c>
      <c r="N88" t="s">
        <v>172</v>
      </c>
      <c r="O88" s="3">
        <v>33.333333333333336</v>
      </c>
      <c r="P88" s="3">
        <v>200</v>
      </c>
    </row>
    <row r="89" spans="1:16" x14ac:dyDescent="0.3">
      <c r="A89">
        <v>88</v>
      </c>
      <c r="B89" t="s">
        <v>74</v>
      </c>
      <c r="C89" t="s">
        <v>200</v>
      </c>
      <c r="D89" t="str" cm="1">
        <f t="array" ref="D89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Europe</v>
      </c>
      <c r="E89" s="13">
        <v>44520</v>
      </c>
      <c r="F89">
        <v>11</v>
      </c>
      <c r="G89">
        <v>29</v>
      </c>
      <c r="H89" t="str" cm="1">
        <f t="array" ref="H89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89" t="s">
        <v>15</v>
      </c>
      <c r="J89" t="s">
        <v>30</v>
      </c>
      <c r="K89" t="s">
        <v>41</v>
      </c>
      <c r="L89" s="3">
        <v>27.272727272727273</v>
      </c>
      <c r="M89" s="3">
        <v>300</v>
      </c>
      <c r="N89" t="s">
        <v>238</v>
      </c>
      <c r="O89" s="3">
        <v>36.363636363636367</v>
      </c>
      <c r="P89" s="3">
        <v>400</v>
      </c>
    </row>
    <row r="90" spans="1:16" x14ac:dyDescent="0.3">
      <c r="A90">
        <v>89</v>
      </c>
      <c r="B90" t="s">
        <v>186</v>
      </c>
      <c r="C90" t="s">
        <v>224</v>
      </c>
      <c r="D90" t="str" cm="1">
        <f t="array" ref="D90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Asia</v>
      </c>
      <c r="E90" s="13">
        <v>44562</v>
      </c>
      <c r="F90">
        <v>8</v>
      </c>
      <c r="G90">
        <v>24</v>
      </c>
      <c r="H90" t="str" cm="1">
        <f t="array" ref="H90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90" t="s">
        <v>21</v>
      </c>
      <c r="J90" t="s">
        <v>50</v>
      </c>
      <c r="K90" t="s">
        <v>17</v>
      </c>
      <c r="L90" s="3">
        <v>125</v>
      </c>
      <c r="M90" s="3">
        <v>1000</v>
      </c>
      <c r="N90" t="s">
        <v>238</v>
      </c>
      <c r="O90" s="3">
        <v>100</v>
      </c>
      <c r="P90" s="3">
        <v>800</v>
      </c>
    </row>
    <row r="91" spans="1:16" x14ac:dyDescent="0.3">
      <c r="A91">
        <v>90</v>
      </c>
      <c r="B91" t="s">
        <v>87</v>
      </c>
      <c r="C91" t="s">
        <v>97</v>
      </c>
      <c r="D91" t="str" cm="1">
        <f t="array" ref="D91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Asia</v>
      </c>
      <c r="E91" s="13">
        <v>44606</v>
      </c>
      <c r="F91">
        <v>7</v>
      </c>
      <c r="G91">
        <v>26</v>
      </c>
      <c r="H91" t="str" cm="1">
        <f t="array" ref="H91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91" t="s">
        <v>15</v>
      </c>
      <c r="J91" t="s">
        <v>33</v>
      </c>
      <c r="K91" t="s">
        <v>34</v>
      </c>
      <c r="L91" s="3">
        <v>57.142857142857146</v>
      </c>
      <c r="M91" s="3">
        <v>400</v>
      </c>
      <c r="N91" t="s">
        <v>141</v>
      </c>
      <c r="O91" s="3">
        <v>14.285714285714286</v>
      </c>
      <c r="P91" s="3">
        <v>100</v>
      </c>
    </row>
    <row r="92" spans="1:16" x14ac:dyDescent="0.3">
      <c r="A92">
        <v>91</v>
      </c>
      <c r="B92" t="s">
        <v>84</v>
      </c>
      <c r="C92" t="s">
        <v>112</v>
      </c>
      <c r="D92" t="str" cm="1">
        <f t="array" ref="D92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Europe</v>
      </c>
      <c r="E92" s="13">
        <v>44630</v>
      </c>
      <c r="F92">
        <v>11</v>
      </c>
      <c r="G92">
        <v>30</v>
      </c>
      <c r="H92" t="str" cm="1">
        <f t="array" ref="H92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92" t="s">
        <v>21</v>
      </c>
      <c r="J92" t="s">
        <v>86</v>
      </c>
      <c r="K92" t="s">
        <v>41</v>
      </c>
      <c r="L92" s="3">
        <v>18.181818181818183</v>
      </c>
      <c r="M92" s="3">
        <v>200</v>
      </c>
      <c r="N92" t="s">
        <v>238</v>
      </c>
      <c r="O92" s="3">
        <v>31.818181818181817</v>
      </c>
      <c r="P92" s="3">
        <v>350</v>
      </c>
    </row>
    <row r="93" spans="1:16" x14ac:dyDescent="0.3">
      <c r="A93">
        <v>92</v>
      </c>
      <c r="B93" t="s">
        <v>72</v>
      </c>
      <c r="C93" t="s">
        <v>281</v>
      </c>
      <c r="D93" t="str" cm="1">
        <f t="array" ref="D93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Asia</v>
      </c>
      <c r="E93" s="13">
        <v>44666</v>
      </c>
      <c r="F93">
        <v>11</v>
      </c>
      <c r="G93">
        <v>33</v>
      </c>
      <c r="H93" t="str" cm="1">
        <f t="array" ref="H93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93" t="s">
        <v>15</v>
      </c>
      <c r="J93" t="s">
        <v>193</v>
      </c>
      <c r="K93" t="s">
        <v>27</v>
      </c>
      <c r="L93" s="3">
        <v>136.36363636363637</v>
      </c>
      <c r="M93" s="3">
        <v>1500</v>
      </c>
      <c r="N93" t="s">
        <v>172</v>
      </c>
      <c r="O93" s="3">
        <v>27.272727272727273</v>
      </c>
      <c r="P93" s="3">
        <v>300</v>
      </c>
    </row>
    <row r="94" spans="1:16" x14ac:dyDescent="0.3">
      <c r="A94">
        <v>93</v>
      </c>
      <c r="B94" t="s">
        <v>194</v>
      </c>
      <c r="C94" t="s">
        <v>199</v>
      </c>
      <c r="D94" t="str" cm="1">
        <f t="array" ref="D94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Asia</v>
      </c>
      <c r="E94" s="13">
        <v>44682</v>
      </c>
      <c r="F94">
        <v>10</v>
      </c>
      <c r="G94">
        <v>27</v>
      </c>
      <c r="H94" t="str" cm="1">
        <f t="array" ref="H94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94" t="s">
        <v>21</v>
      </c>
      <c r="J94" t="s">
        <v>26</v>
      </c>
      <c r="K94" t="s">
        <v>17</v>
      </c>
      <c r="L94" s="3">
        <v>80</v>
      </c>
      <c r="M94" s="3">
        <v>800</v>
      </c>
      <c r="N94" t="s">
        <v>141</v>
      </c>
      <c r="O94" s="3">
        <v>15</v>
      </c>
      <c r="P94" s="3">
        <v>150</v>
      </c>
    </row>
    <row r="95" spans="1:16" x14ac:dyDescent="0.3">
      <c r="A95">
        <v>94</v>
      </c>
      <c r="B95" t="s">
        <v>70</v>
      </c>
      <c r="C95" t="s">
        <v>99</v>
      </c>
      <c r="D95" t="str" cm="1">
        <f t="array" ref="D95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Europe</v>
      </c>
      <c r="E95" s="13">
        <v>44727</v>
      </c>
      <c r="F95">
        <v>5</v>
      </c>
      <c r="G95">
        <v>35</v>
      </c>
      <c r="H95" t="str" cm="1">
        <f t="array" ref="H95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95" t="s">
        <v>15</v>
      </c>
      <c r="J95" t="s">
        <v>197</v>
      </c>
      <c r="K95" t="s">
        <v>17</v>
      </c>
      <c r="L95" s="3">
        <v>100</v>
      </c>
      <c r="M95" s="3">
        <v>500</v>
      </c>
      <c r="N95" t="s">
        <v>238</v>
      </c>
      <c r="O95" s="3">
        <v>160</v>
      </c>
      <c r="P95" s="3">
        <v>800</v>
      </c>
    </row>
    <row r="96" spans="1:16" x14ac:dyDescent="0.3">
      <c r="A96">
        <v>95</v>
      </c>
      <c r="B96" t="s">
        <v>76</v>
      </c>
      <c r="C96" t="s">
        <v>95</v>
      </c>
      <c r="D96" t="str" cm="1">
        <f t="array" ref="D96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Asia</v>
      </c>
      <c r="E96" s="13">
        <v>44805</v>
      </c>
      <c r="F96">
        <v>9</v>
      </c>
      <c r="G96">
        <v>28</v>
      </c>
      <c r="H96" t="str" cm="1">
        <f t="array" ref="H96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96" t="s">
        <v>21</v>
      </c>
      <c r="J96" t="s">
        <v>116</v>
      </c>
      <c r="K96" t="s">
        <v>34</v>
      </c>
      <c r="L96" s="3">
        <v>44.444444444444443</v>
      </c>
      <c r="M96" s="3">
        <v>400</v>
      </c>
      <c r="N96" t="s">
        <v>141</v>
      </c>
      <c r="O96" s="3">
        <v>22.222222222222221</v>
      </c>
      <c r="P96" s="3">
        <v>200</v>
      </c>
    </row>
    <row r="97" spans="1:16" x14ac:dyDescent="0.3">
      <c r="A97">
        <v>96</v>
      </c>
      <c r="B97" t="s">
        <v>82</v>
      </c>
      <c r="C97" t="s">
        <v>102</v>
      </c>
      <c r="D97" t="str" cm="1">
        <f t="array" ref="D97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Oceania</v>
      </c>
      <c r="E97" s="13">
        <v>44888</v>
      </c>
      <c r="F97">
        <v>9</v>
      </c>
      <c r="G97">
        <v>45</v>
      </c>
      <c r="H97" t="str" cm="1">
        <f t="array" ref="H97">_xlfn.IFS(IF(OR(Table1[[#This Row],[Age]] &gt;= 17), Table1[[#This Row],[Age]] &lt; 30),"Young",IF(OR(Table1[[#This Row],[Age]] &gt;= 30), Table1[[#This Row],[Age]] &lt; 45),"Middle-Aged",Table1[[#This Row],[Age]] &gt;= 45,"Old")</f>
        <v>Old</v>
      </c>
      <c r="I97" t="s">
        <v>15</v>
      </c>
      <c r="J97" t="s">
        <v>199</v>
      </c>
      <c r="K97" t="s">
        <v>41</v>
      </c>
      <c r="L97" s="3">
        <v>22.222222222222221</v>
      </c>
      <c r="M97" s="3">
        <v>200</v>
      </c>
      <c r="N97" t="s">
        <v>238</v>
      </c>
      <c r="O97" s="3">
        <v>133.33333333333334</v>
      </c>
      <c r="P97" s="3">
        <v>1200</v>
      </c>
    </row>
    <row r="98" spans="1:16" x14ac:dyDescent="0.3">
      <c r="A98">
        <v>97</v>
      </c>
      <c r="B98" t="s">
        <v>74</v>
      </c>
      <c r="C98" t="s">
        <v>200</v>
      </c>
      <c r="D98" t="str" cm="1">
        <f t="array" ref="D98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Europe</v>
      </c>
      <c r="E98" s="13">
        <v>44971</v>
      </c>
      <c r="F98">
        <v>5</v>
      </c>
      <c r="G98">
        <v>37</v>
      </c>
      <c r="H98" t="str" cm="1">
        <f t="array" ref="H98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98" t="s">
        <v>21</v>
      </c>
      <c r="J98" t="s">
        <v>200</v>
      </c>
      <c r="K98" t="s">
        <v>17</v>
      </c>
      <c r="L98" s="3">
        <v>120</v>
      </c>
      <c r="M98" s="3">
        <v>600</v>
      </c>
      <c r="N98" t="s">
        <v>238</v>
      </c>
      <c r="O98" s="3">
        <v>140</v>
      </c>
      <c r="P98" s="3">
        <v>700</v>
      </c>
    </row>
    <row r="99" spans="1:16" x14ac:dyDescent="0.3">
      <c r="A99">
        <v>98</v>
      </c>
      <c r="B99" t="s">
        <v>79</v>
      </c>
      <c r="C99" t="s">
        <v>197</v>
      </c>
      <c r="D99" t="str" cm="1">
        <f t="array" ref="D99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North America</v>
      </c>
      <c r="E99" s="13">
        <v>45054</v>
      </c>
      <c r="F99">
        <v>6</v>
      </c>
      <c r="G99">
        <v>50</v>
      </c>
      <c r="H99" t="str" cm="1">
        <f t="array" ref="H99">_xlfn.IFS(IF(OR(Table1[[#This Row],[Age]] &gt;= 17), Table1[[#This Row],[Age]] &lt; 30),"Young",IF(OR(Table1[[#This Row],[Age]] &gt;= 30), Table1[[#This Row],[Age]] &lt; 45),"Middle-Aged",Table1[[#This Row],[Age]] &gt;= 45,"Old")</f>
        <v>Old</v>
      </c>
      <c r="I99" t="s">
        <v>15</v>
      </c>
      <c r="J99" t="s">
        <v>202</v>
      </c>
      <c r="K99" t="s">
        <v>34</v>
      </c>
      <c r="L99" s="3">
        <v>133.33333333333334</v>
      </c>
      <c r="M99" s="3">
        <v>800</v>
      </c>
      <c r="N99" t="s">
        <v>172</v>
      </c>
      <c r="O99" s="3">
        <v>50</v>
      </c>
      <c r="P99" s="3">
        <v>300</v>
      </c>
    </row>
    <row r="100" spans="1:16" x14ac:dyDescent="0.3">
      <c r="A100">
        <v>99</v>
      </c>
      <c r="B100" t="s">
        <v>84</v>
      </c>
      <c r="C100" t="s">
        <v>112</v>
      </c>
      <c r="D100" t="str" cm="1">
        <f t="array" ref="D100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Europe</v>
      </c>
      <c r="E100" s="13">
        <v>45158</v>
      </c>
      <c r="F100">
        <v>7</v>
      </c>
      <c r="G100">
        <v>31</v>
      </c>
      <c r="H100" t="str" cm="1">
        <f t="array" ref="H100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100" t="s">
        <v>21</v>
      </c>
      <c r="J100" t="s">
        <v>204</v>
      </c>
      <c r="K100" t="s">
        <v>17</v>
      </c>
      <c r="L100" s="3">
        <v>100</v>
      </c>
      <c r="M100" s="3">
        <v>700</v>
      </c>
      <c r="N100" t="s">
        <v>238</v>
      </c>
      <c r="O100" s="3">
        <v>128.57142857142858</v>
      </c>
      <c r="P100" s="3">
        <v>900</v>
      </c>
    </row>
    <row r="101" spans="1:16" x14ac:dyDescent="0.3">
      <c r="A101">
        <v>100</v>
      </c>
      <c r="B101" t="s">
        <v>87</v>
      </c>
      <c r="C101" t="s">
        <v>97</v>
      </c>
      <c r="D101" t="str" cm="1">
        <f t="array" ref="D101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Asia</v>
      </c>
      <c r="E101" s="13">
        <v>45242</v>
      </c>
      <c r="F101">
        <v>8</v>
      </c>
      <c r="G101">
        <v>42</v>
      </c>
      <c r="H101" t="str" cm="1">
        <f t="array" ref="H101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101" t="s">
        <v>15</v>
      </c>
      <c r="J101" t="s">
        <v>95</v>
      </c>
      <c r="K101" t="s">
        <v>41</v>
      </c>
      <c r="L101" s="3">
        <v>37.5</v>
      </c>
      <c r="M101" s="3">
        <v>300</v>
      </c>
      <c r="N101" t="s">
        <v>141</v>
      </c>
      <c r="O101" s="3">
        <v>12.5</v>
      </c>
      <c r="P101" s="3">
        <v>100</v>
      </c>
    </row>
    <row r="102" spans="1:16" x14ac:dyDescent="0.3">
      <c r="A102">
        <v>101</v>
      </c>
      <c r="B102" t="s">
        <v>147</v>
      </c>
      <c r="C102" t="s">
        <v>271</v>
      </c>
      <c r="D102" t="str" cm="1">
        <f t="array" ref="D102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Africa</v>
      </c>
      <c r="E102" s="13">
        <v>45297</v>
      </c>
      <c r="F102">
        <v>8</v>
      </c>
      <c r="G102">
        <v>27</v>
      </c>
      <c r="H102" t="str" cm="1">
        <f t="array" ref="H102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102" t="s">
        <v>21</v>
      </c>
      <c r="J102" t="s">
        <v>114</v>
      </c>
      <c r="K102" t="s">
        <v>34</v>
      </c>
      <c r="L102" s="3">
        <v>62.5</v>
      </c>
      <c r="M102" s="3">
        <v>500</v>
      </c>
      <c r="N102" t="s">
        <v>238</v>
      </c>
      <c r="O102" s="3">
        <v>187.5</v>
      </c>
      <c r="P102" s="3">
        <v>1500</v>
      </c>
    </row>
    <row r="103" spans="1:16" x14ac:dyDescent="0.3">
      <c r="A103">
        <v>102</v>
      </c>
      <c r="B103" t="s">
        <v>206</v>
      </c>
      <c r="C103" t="s">
        <v>104</v>
      </c>
      <c r="D103" t="str" cm="1">
        <f t="array" ref="D103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South America</v>
      </c>
      <c r="E103" s="13">
        <v>45385</v>
      </c>
      <c r="F103">
        <v>7</v>
      </c>
      <c r="G103">
        <v>33</v>
      </c>
      <c r="H103" t="str" cm="1">
        <f t="array" ref="H103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103" t="s">
        <v>15</v>
      </c>
      <c r="J103" t="s">
        <v>104</v>
      </c>
      <c r="K103" t="s">
        <v>17</v>
      </c>
      <c r="L103" s="3">
        <v>128.57142857142858</v>
      </c>
      <c r="M103" s="3">
        <v>900</v>
      </c>
      <c r="N103" t="s">
        <v>172</v>
      </c>
      <c r="O103" s="3">
        <v>57.142857142857146</v>
      </c>
      <c r="P103" s="3">
        <v>400</v>
      </c>
    </row>
    <row r="104" spans="1:16" x14ac:dyDescent="0.3">
      <c r="A104">
        <v>103</v>
      </c>
      <c r="B104" t="s">
        <v>72</v>
      </c>
      <c r="C104" t="s">
        <v>281</v>
      </c>
      <c r="D104" t="str" cm="1">
        <f t="array" ref="D104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Asia</v>
      </c>
      <c r="E104" s="13">
        <v>45495</v>
      </c>
      <c r="F104">
        <v>6</v>
      </c>
      <c r="G104">
        <v>29</v>
      </c>
      <c r="H104" t="str" cm="1">
        <f t="array" ref="H104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104" t="s">
        <v>21</v>
      </c>
      <c r="J104" t="s">
        <v>199</v>
      </c>
      <c r="K104" t="s">
        <v>27</v>
      </c>
      <c r="L104" s="3">
        <v>200</v>
      </c>
      <c r="M104" s="3">
        <v>1200</v>
      </c>
      <c r="N104" t="s">
        <v>238</v>
      </c>
      <c r="O104" s="3">
        <v>166.66666666666666</v>
      </c>
      <c r="P104" s="3">
        <v>1000</v>
      </c>
    </row>
    <row r="105" spans="1:16" x14ac:dyDescent="0.3">
      <c r="A105">
        <v>104</v>
      </c>
      <c r="B105" t="s">
        <v>209</v>
      </c>
      <c r="C105" t="s">
        <v>282</v>
      </c>
      <c r="D105" t="str" cm="1">
        <f t="array" ref="D105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Europe</v>
      </c>
      <c r="E105" s="13">
        <v>45575</v>
      </c>
      <c r="F105">
        <v>7</v>
      </c>
      <c r="G105">
        <v>41</v>
      </c>
      <c r="H105" t="str" cm="1">
        <f t="array" ref="H105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105" t="s">
        <v>15</v>
      </c>
      <c r="J105" t="s">
        <v>211</v>
      </c>
      <c r="K105" t="s">
        <v>17</v>
      </c>
      <c r="L105" s="3">
        <v>85.714285714285708</v>
      </c>
      <c r="M105" s="3">
        <v>600</v>
      </c>
      <c r="N105" t="s">
        <v>141</v>
      </c>
      <c r="O105" s="3">
        <v>21.428571428571427</v>
      </c>
      <c r="P105" s="3">
        <v>150</v>
      </c>
    </row>
    <row r="106" spans="1:16" x14ac:dyDescent="0.3">
      <c r="A106">
        <v>105</v>
      </c>
      <c r="B106" t="s">
        <v>70</v>
      </c>
      <c r="C106" t="s">
        <v>99</v>
      </c>
      <c r="D106" t="str" cm="1">
        <f t="array" ref="D106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Europe</v>
      </c>
      <c r="E106" s="13">
        <v>44696</v>
      </c>
      <c r="F106">
        <v>5</v>
      </c>
      <c r="G106">
        <v>35</v>
      </c>
      <c r="H106" t="str" cm="1">
        <f t="array" ref="H106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106" t="s">
        <v>15</v>
      </c>
      <c r="J106" t="s">
        <v>197</v>
      </c>
      <c r="K106" t="s">
        <v>17</v>
      </c>
      <c r="L106" s="3">
        <v>200</v>
      </c>
      <c r="M106" s="3">
        <v>1000</v>
      </c>
      <c r="N106" t="s">
        <v>238</v>
      </c>
      <c r="O106" s="3">
        <v>160</v>
      </c>
      <c r="P106" s="3">
        <v>800</v>
      </c>
    </row>
    <row r="107" spans="1:16" x14ac:dyDescent="0.3">
      <c r="A107">
        <v>106</v>
      </c>
      <c r="B107" t="s">
        <v>76</v>
      </c>
      <c r="C107" t="s">
        <v>95</v>
      </c>
      <c r="D107" t="str" cm="1">
        <f t="array" ref="D107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Asia</v>
      </c>
      <c r="E107" s="13">
        <v>44805</v>
      </c>
      <c r="F107">
        <v>9</v>
      </c>
      <c r="G107">
        <v>28</v>
      </c>
      <c r="H107" t="str" cm="1">
        <f t="array" ref="H107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107" t="s">
        <v>21</v>
      </c>
      <c r="J107" t="s">
        <v>199</v>
      </c>
      <c r="K107" t="s">
        <v>34</v>
      </c>
      <c r="L107" s="3">
        <v>88.888888888888886</v>
      </c>
      <c r="M107" s="3">
        <v>800</v>
      </c>
      <c r="N107" t="s">
        <v>141</v>
      </c>
      <c r="O107" s="3">
        <v>55.555555555555557</v>
      </c>
      <c r="P107" s="3">
        <v>500</v>
      </c>
    </row>
    <row r="108" spans="1:16" x14ac:dyDescent="0.3">
      <c r="A108">
        <v>107</v>
      </c>
      <c r="B108" t="s">
        <v>79</v>
      </c>
      <c r="C108" t="s">
        <v>197</v>
      </c>
      <c r="D108" t="str" cm="1">
        <f t="array" ref="D108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North America</v>
      </c>
      <c r="E108" s="13">
        <v>44732</v>
      </c>
      <c r="F108">
        <v>5</v>
      </c>
      <c r="G108">
        <v>42</v>
      </c>
      <c r="H108" t="str" cm="1">
        <f t="array" ref="H108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108" t="s">
        <v>15</v>
      </c>
      <c r="J108" t="s">
        <v>212</v>
      </c>
      <c r="K108" t="s">
        <v>17</v>
      </c>
      <c r="L108" s="3">
        <v>240</v>
      </c>
      <c r="M108" s="3">
        <v>1200</v>
      </c>
      <c r="N108" t="s">
        <v>172</v>
      </c>
      <c r="O108" s="3">
        <v>40</v>
      </c>
      <c r="P108" s="3">
        <v>200</v>
      </c>
    </row>
    <row r="109" spans="1:16" x14ac:dyDescent="0.3">
      <c r="A109">
        <v>108</v>
      </c>
      <c r="B109" t="s">
        <v>72</v>
      </c>
      <c r="C109" t="s">
        <v>281</v>
      </c>
      <c r="D109" t="str" cm="1">
        <f t="array" ref="D109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Asia</v>
      </c>
      <c r="E109" s="13">
        <v>44785</v>
      </c>
      <c r="F109">
        <v>8</v>
      </c>
      <c r="G109">
        <v>30</v>
      </c>
      <c r="H109" t="str" cm="1">
        <f t="array" ref="H109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109" t="s">
        <v>21</v>
      </c>
      <c r="J109" t="s">
        <v>204</v>
      </c>
      <c r="K109" t="s">
        <v>23</v>
      </c>
      <c r="L109" s="3">
        <v>187.5</v>
      </c>
      <c r="M109" s="3">
        <v>1500</v>
      </c>
      <c r="N109" t="s">
        <v>238</v>
      </c>
      <c r="O109" s="3">
        <v>150</v>
      </c>
      <c r="P109" s="3">
        <v>1200</v>
      </c>
    </row>
    <row r="110" spans="1:16" x14ac:dyDescent="0.3">
      <c r="A110">
        <v>109</v>
      </c>
      <c r="B110" t="s">
        <v>82</v>
      </c>
      <c r="C110" t="s">
        <v>102</v>
      </c>
      <c r="D110" t="str" cm="1">
        <f t="array" ref="D110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Oceania</v>
      </c>
      <c r="E110" s="13">
        <v>44743</v>
      </c>
      <c r="F110">
        <v>9</v>
      </c>
      <c r="G110">
        <v>26</v>
      </c>
      <c r="H110" t="str" cm="1">
        <f t="array" ref="H110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110" t="s">
        <v>15</v>
      </c>
      <c r="J110" t="s">
        <v>116</v>
      </c>
      <c r="K110" t="s">
        <v>41</v>
      </c>
      <c r="L110" s="3">
        <v>33.333333333333336</v>
      </c>
      <c r="M110" s="3">
        <v>300</v>
      </c>
      <c r="N110" t="s">
        <v>238</v>
      </c>
      <c r="O110" s="3">
        <v>100</v>
      </c>
      <c r="P110" s="3">
        <v>900</v>
      </c>
    </row>
    <row r="111" spans="1:16" x14ac:dyDescent="0.3">
      <c r="A111">
        <v>110</v>
      </c>
      <c r="B111" t="s">
        <v>74</v>
      </c>
      <c r="C111" t="s">
        <v>200</v>
      </c>
      <c r="D111" t="str" cm="1">
        <f t="array" ref="D111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Europe</v>
      </c>
      <c r="E111" s="13">
        <v>44722</v>
      </c>
      <c r="F111">
        <v>5</v>
      </c>
      <c r="G111">
        <v>38</v>
      </c>
      <c r="H111" t="str" cm="1">
        <f t="array" ref="H111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111" t="s">
        <v>21</v>
      </c>
      <c r="J111" t="s">
        <v>215</v>
      </c>
      <c r="K111" t="s">
        <v>17</v>
      </c>
      <c r="L111" s="3">
        <v>180</v>
      </c>
      <c r="M111" s="3">
        <v>900</v>
      </c>
      <c r="N111" t="s">
        <v>141</v>
      </c>
      <c r="O111" s="3">
        <v>30</v>
      </c>
      <c r="P111" s="3">
        <v>150</v>
      </c>
    </row>
    <row r="112" spans="1:16" x14ac:dyDescent="0.3">
      <c r="A112">
        <v>111</v>
      </c>
      <c r="B112" t="s">
        <v>216</v>
      </c>
      <c r="C112" t="s">
        <v>97</v>
      </c>
      <c r="D112" t="str" cm="1">
        <f t="array" ref="D112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Asia</v>
      </c>
      <c r="E112" s="13">
        <v>44809</v>
      </c>
      <c r="F112">
        <v>7</v>
      </c>
      <c r="G112">
        <v>45</v>
      </c>
      <c r="H112" t="str" cm="1">
        <f t="array" ref="H112">_xlfn.IFS(IF(OR(Table1[[#This Row],[Age]] &gt;= 17), Table1[[#This Row],[Age]] &lt; 30),"Young",IF(OR(Table1[[#This Row],[Age]] &gt;= 30), Table1[[#This Row],[Age]] &lt; 45),"Middle-Aged",Table1[[#This Row],[Age]] &gt;= 45,"Old")</f>
        <v>Old</v>
      </c>
      <c r="I112" t="s">
        <v>15</v>
      </c>
      <c r="J112" t="s">
        <v>218</v>
      </c>
      <c r="K112" t="s">
        <v>27</v>
      </c>
      <c r="L112" s="3">
        <v>285.71428571428572</v>
      </c>
      <c r="M112" s="3">
        <v>2000</v>
      </c>
      <c r="N112" t="s">
        <v>238</v>
      </c>
      <c r="O112" s="3">
        <v>100</v>
      </c>
      <c r="P112" s="3">
        <v>700</v>
      </c>
    </row>
    <row r="113" spans="1:16" x14ac:dyDescent="0.3">
      <c r="A113">
        <v>112</v>
      </c>
      <c r="B113" t="s">
        <v>84</v>
      </c>
      <c r="C113" t="s">
        <v>112</v>
      </c>
      <c r="D113" t="str" cm="1">
        <f t="array" ref="D113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Europe</v>
      </c>
      <c r="E113" s="13">
        <v>44682</v>
      </c>
      <c r="F113">
        <v>7</v>
      </c>
      <c r="G113">
        <v>31</v>
      </c>
      <c r="H113" t="str" cm="1">
        <f t="array" ref="H113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113" t="s">
        <v>21</v>
      </c>
      <c r="J113" t="s">
        <v>112</v>
      </c>
      <c r="K113" t="s">
        <v>17</v>
      </c>
      <c r="L113" s="3">
        <v>157.14285714285714</v>
      </c>
      <c r="M113" s="3">
        <v>1100</v>
      </c>
      <c r="N113" t="s">
        <v>141</v>
      </c>
      <c r="O113" s="3">
        <v>35.714285714285715</v>
      </c>
      <c r="P113" s="3">
        <v>250</v>
      </c>
    </row>
    <row r="114" spans="1:16" x14ac:dyDescent="0.3">
      <c r="A114">
        <v>113</v>
      </c>
      <c r="B114" t="s">
        <v>220</v>
      </c>
      <c r="C114" t="s">
        <v>106</v>
      </c>
      <c r="D114" t="str" cm="1">
        <f t="array" ref="D114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Europe</v>
      </c>
      <c r="E114" s="13">
        <v>44757</v>
      </c>
      <c r="F114">
        <v>7</v>
      </c>
      <c r="G114">
        <v>27</v>
      </c>
      <c r="H114" t="str" cm="1">
        <f t="array" ref="H114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114" t="s">
        <v>15</v>
      </c>
      <c r="J114" t="s">
        <v>106</v>
      </c>
      <c r="K114" t="s">
        <v>34</v>
      </c>
      <c r="L114" s="3">
        <v>142.85714285714286</v>
      </c>
      <c r="M114" s="3">
        <v>1000</v>
      </c>
      <c r="N114" t="s">
        <v>222</v>
      </c>
      <c r="O114" s="3">
        <v>21.428571428571427</v>
      </c>
      <c r="P114" s="3">
        <v>150</v>
      </c>
    </row>
    <row r="115" spans="1:16" x14ac:dyDescent="0.3">
      <c r="A115">
        <v>114</v>
      </c>
      <c r="B115" t="s">
        <v>186</v>
      </c>
      <c r="C115" t="s">
        <v>224</v>
      </c>
      <c r="D115" t="str" cm="1">
        <f t="array" ref="D115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Asia</v>
      </c>
      <c r="E115" s="13">
        <v>44798</v>
      </c>
      <c r="F115">
        <v>5</v>
      </c>
      <c r="G115">
        <v>29</v>
      </c>
      <c r="H115" t="str" cm="1">
        <f t="array" ref="H115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115" t="s">
        <v>21</v>
      </c>
      <c r="J115" t="s">
        <v>224</v>
      </c>
      <c r="K115" t="s">
        <v>17</v>
      </c>
      <c r="L115" s="3">
        <v>300</v>
      </c>
      <c r="M115" s="3">
        <v>1500</v>
      </c>
      <c r="N115" t="s">
        <v>172</v>
      </c>
      <c r="O115" s="3">
        <v>60</v>
      </c>
      <c r="P115" s="3">
        <v>300</v>
      </c>
    </row>
    <row r="116" spans="1:16" x14ac:dyDescent="0.3">
      <c r="A116">
        <v>115</v>
      </c>
      <c r="B116" t="s">
        <v>225</v>
      </c>
      <c r="C116" t="s">
        <v>97</v>
      </c>
      <c r="D116" t="str" cm="1">
        <f t="array" ref="D116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Asia</v>
      </c>
      <c r="E116" s="13">
        <v>44814</v>
      </c>
      <c r="F116">
        <v>5</v>
      </c>
      <c r="G116">
        <v>33</v>
      </c>
      <c r="H116" t="str" cm="1">
        <f t="array" ref="H116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116" t="s">
        <v>15</v>
      </c>
      <c r="J116" t="s">
        <v>227</v>
      </c>
      <c r="K116" t="s">
        <v>41</v>
      </c>
      <c r="L116" s="3">
        <v>40</v>
      </c>
      <c r="M116" s="3">
        <v>200</v>
      </c>
      <c r="N116" t="s">
        <v>238</v>
      </c>
      <c r="O116" s="3">
        <v>100</v>
      </c>
      <c r="P116" s="3">
        <v>500</v>
      </c>
    </row>
    <row r="117" spans="1:16" x14ac:dyDescent="0.3">
      <c r="A117">
        <v>116</v>
      </c>
      <c r="B117" t="s">
        <v>76</v>
      </c>
      <c r="C117" t="s">
        <v>95</v>
      </c>
      <c r="D117" t="str" cm="1">
        <f t="array" ref="D117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Asia</v>
      </c>
      <c r="E117" s="13">
        <v>44597</v>
      </c>
      <c r="F117">
        <v>9</v>
      </c>
      <c r="G117">
        <v>32</v>
      </c>
      <c r="H117" t="str" cm="1">
        <f t="array" ref="H117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117" t="s">
        <v>21</v>
      </c>
      <c r="J117" t="s">
        <v>16</v>
      </c>
      <c r="K117" t="s">
        <v>17</v>
      </c>
      <c r="L117" s="3">
        <v>111.11111111111111</v>
      </c>
      <c r="M117" s="3">
        <v>1000</v>
      </c>
      <c r="N117" t="s">
        <v>238</v>
      </c>
      <c r="O117" s="3">
        <v>77.777777777777771</v>
      </c>
      <c r="P117" s="3">
        <v>700</v>
      </c>
    </row>
    <row r="118" spans="1:16" x14ac:dyDescent="0.3">
      <c r="A118">
        <v>117</v>
      </c>
      <c r="B118" t="s">
        <v>70</v>
      </c>
      <c r="C118" t="s">
        <v>99</v>
      </c>
      <c r="D118" t="str" cm="1">
        <f t="array" ref="D118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Europe</v>
      </c>
      <c r="E118" s="13">
        <v>44635</v>
      </c>
      <c r="F118">
        <v>7</v>
      </c>
      <c r="G118">
        <v>47</v>
      </c>
      <c r="H118" t="str" cm="1">
        <f t="array" ref="H118">_xlfn.IFS(IF(OR(Table1[[#This Row],[Age]] &gt;= 17), Table1[[#This Row],[Age]] &lt; 30),"Young",IF(OR(Table1[[#This Row],[Age]] &gt;= 30), Table1[[#This Row],[Age]] &lt; 45),"Middle-Aged",Table1[[#This Row],[Age]] &gt;= 45,"Old")</f>
        <v>Old</v>
      </c>
      <c r="I118" t="s">
        <v>15</v>
      </c>
      <c r="J118" t="s">
        <v>22</v>
      </c>
      <c r="K118" t="s">
        <v>17</v>
      </c>
      <c r="L118" s="3">
        <v>171.42857142857142</v>
      </c>
      <c r="M118" s="3">
        <v>1200</v>
      </c>
      <c r="N118" t="s">
        <v>141</v>
      </c>
      <c r="O118" s="3">
        <v>71.428571428571431</v>
      </c>
      <c r="P118" s="3">
        <v>500</v>
      </c>
    </row>
    <row r="119" spans="1:16" x14ac:dyDescent="0.3">
      <c r="A119">
        <v>118</v>
      </c>
      <c r="B119" t="s">
        <v>82</v>
      </c>
      <c r="C119" t="s">
        <v>102</v>
      </c>
      <c r="D119" t="str" cm="1">
        <f t="array" ref="D119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Oceania</v>
      </c>
      <c r="E119" s="13">
        <v>44682</v>
      </c>
      <c r="F119">
        <v>11</v>
      </c>
      <c r="G119">
        <v>26</v>
      </c>
      <c r="H119" t="str" cm="1">
        <f t="array" ref="H119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119" t="s">
        <v>21</v>
      </c>
      <c r="J119" t="s">
        <v>59</v>
      </c>
      <c r="K119" t="s">
        <v>34</v>
      </c>
      <c r="L119" s="3">
        <v>72.727272727272734</v>
      </c>
      <c r="M119" s="3">
        <v>800</v>
      </c>
      <c r="N119" t="s">
        <v>238</v>
      </c>
      <c r="O119" s="3">
        <v>90.909090909090907</v>
      </c>
      <c r="P119" s="3">
        <v>1000</v>
      </c>
    </row>
    <row r="120" spans="1:16" x14ac:dyDescent="0.3">
      <c r="A120">
        <v>119</v>
      </c>
      <c r="B120" t="s">
        <v>84</v>
      </c>
      <c r="C120" t="s">
        <v>112</v>
      </c>
      <c r="D120" t="str" cm="1">
        <f t="array" ref="D120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Europe</v>
      </c>
      <c r="E120" s="13">
        <v>44722</v>
      </c>
      <c r="F120">
        <v>7</v>
      </c>
      <c r="G120">
        <v>38</v>
      </c>
      <c r="H120" t="str" cm="1">
        <f t="array" ref="H120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120" t="s">
        <v>15</v>
      </c>
      <c r="J120" t="s">
        <v>26</v>
      </c>
      <c r="K120" t="s">
        <v>17</v>
      </c>
      <c r="L120" s="3">
        <v>128.57142857142858</v>
      </c>
      <c r="M120" s="3">
        <v>900</v>
      </c>
      <c r="N120" t="s">
        <v>141</v>
      </c>
      <c r="O120" s="3">
        <v>57.142857142857146</v>
      </c>
      <c r="P120" s="3">
        <v>400</v>
      </c>
    </row>
    <row r="121" spans="1:16" x14ac:dyDescent="0.3">
      <c r="A121">
        <v>120</v>
      </c>
      <c r="B121" t="s">
        <v>72</v>
      </c>
      <c r="C121" t="s">
        <v>281</v>
      </c>
      <c r="D121" t="str" cm="1">
        <f t="array" ref="D121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Asia</v>
      </c>
      <c r="E121" s="13">
        <v>44762</v>
      </c>
      <c r="F121">
        <v>10</v>
      </c>
      <c r="G121">
        <v>29</v>
      </c>
      <c r="H121" t="str" cm="1">
        <f t="array" ref="H121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121" t="s">
        <v>21</v>
      </c>
      <c r="J121" t="s">
        <v>26</v>
      </c>
      <c r="K121" t="s">
        <v>41</v>
      </c>
      <c r="L121" s="3">
        <v>50</v>
      </c>
      <c r="M121" s="3">
        <v>500</v>
      </c>
      <c r="N121" t="s">
        <v>238</v>
      </c>
      <c r="O121" s="3">
        <v>80</v>
      </c>
      <c r="P121" s="3">
        <v>800</v>
      </c>
    </row>
    <row r="122" spans="1:16" x14ac:dyDescent="0.3">
      <c r="A122">
        <v>121</v>
      </c>
      <c r="B122" t="s">
        <v>260</v>
      </c>
      <c r="C122" t="s">
        <v>110</v>
      </c>
      <c r="D122" t="str" cm="1">
        <f t="array" ref="D122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North America</v>
      </c>
      <c r="E122" s="13">
        <v>44781</v>
      </c>
      <c r="F122">
        <v>8</v>
      </c>
      <c r="G122">
        <v>41</v>
      </c>
      <c r="H122" t="str" cm="1">
        <f t="array" ref="H122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122" t="s">
        <v>15</v>
      </c>
      <c r="J122" t="s">
        <v>16</v>
      </c>
      <c r="K122" t="s">
        <v>17</v>
      </c>
      <c r="L122" s="3">
        <v>162.5</v>
      </c>
      <c r="M122" s="3">
        <v>1300</v>
      </c>
      <c r="N122" t="s">
        <v>238</v>
      </c>
      <c r="O122" s="3">
        <v>75</v>
      </c>
      <c r="P122" s="3">
        <v>600</v>
      </c>
    </row>
    <row r="123" spans="1:16" x14ac:dyDescent="0.3">
      <c r="A123">
        <v>122</v>
      </c>
      <c r="B123" t="s">
        <v>268</v>
      </c>
      <c r="C123" t="s">
        <v>106</v>
      </c>
      <c r="D123" t="str" cm="1">
        <f t="array" ref="D123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Europe</v>
      </c>
      <c r="E123" s="13">
        <v>44824</v>
      </c>
      <c r="F123">
        <v>10</v>
      </c>
      <c r="G123">
        <v>35</v>
      </c>
      <c r="H123" t="str" cm="1">
        <f t="array" ref="H123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123" t="s">
        <v>21</v>
      </c>
      <c r="J123" t="s">
        <v>26</v>
      </c>
      <c r="K123" t="s">
        <v>34</v>
      </c>
      <c r="L123" s="3">
        <v>70</v>
      </c>
      <c r="M123" s="3">
        <v>700</v>
      </c>
      <c r="N123" t="s">
        <v>238</v>
      </c>
      <c r="O123" s="3">
        <v>90</v>
      </c>
      <c r="P123" s="3">
        <v>900</v>
      </c>
    </row>
    <row r="124" spans="1:16" x14ac:dyDescent="0.3">
      <c r="A124">
        <v>123</v>
      </c>
      <c r="B124" t="s">
        <v>76</v>
      </c>
      <c r="C124" t="s">
        <v>95</v>
      </c>
      <c r="D124" t="str" cm="1">
        <f t="array" ref="D124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Asia</v>
      </c>
      <c r="E124" s="13">
        <v>44839</v>
      </c>
      <c r="F124">
        <v>8</v>
      </c>
      <c r="G124">
        <v>24</v>
      </c>
      <c r="H124" t="str" cm="1">
        <f t="array" ref="H124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124" t="s">
        <v>15</v>
      </c>
      <c r="J124" t="s">
        <v>26</v>
      </c>
      <c r="K124" t="s">
        <v>17</v>
      </c>
      <c r="L124" s="3">
        <v>150</v>
      </c>
      <c r="M124" s="3">
        <v>1200</v>
      </c>
      <c r="N124" t="s">
        <v>238</v>
      </c>
      <c r="O124" s="3">
        <v>87.5</v>
      </c>
      <c r="P124" s="3">
        <v>700</v>
      </c>
    </row>
    <row r="125" spans="1:16" x14ac:dyDescent="0.3">
      <c r="A125">
        <v>124</v>
      </c>
      <c r="B125" t="s">
        <v>82</v>
      </c>
      <c r="C125" t="s">
        <v>102</v>
      </c>
      <c r="D125" t="str" cm="1">
        <f t="array" ref="D125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Oceania</v>
      </c>
      <c r="E125" s="13">
        <v>44876</v>
      </c>
      <c r="F125">
        <v>10</v>
      </c>
      <c r="G125">
        <v>30</v>
      </c>
      <c r="H125" t="str" cm="1">
        <f t="array" ref="H125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125" t="s">
        <v>21</v>
      </c>
      <c r="J125" t="s">
        <v>59</v>
      </c>
      <c r="K125" t="s">
        <v>34</v>
      </c>
      <c r="L125" s="3">
        <v>90</v>
      </c>
      <c r="M125" s="3">
        <v>900</v>
      </c>
      <c r="N125" t="s">
        <v>238</v>
      </c>
      <c r="O125" s="3">
        <v>100</v>
      </c>
      <c r="P125" s="3">
        <v>1000</v>
      </c>
    </row>
    <row r="126" spans="1:16" x14ac:dyDescent="0.3">
      <c r="A126">
        <v>125</v>
      </c>
      <c r="B126" t="s">
        <v>70</v>
      </c>
      <c r="C126" t="s">
        <v>99</v>
      </c>
      <c r="D126" t="str" cm="1">
        <f t="array" ref="D126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Europe</v>
      </c>
      <c r="E126" s="13">
        <v>44919</v>
      </c>
      <c r="F126">
        <v>8</v>
      </c>
      <c r="G126">
        <v>28</v>
      </c>
      <c r="H126" t="str" cm="1">
        <f t="array" ref="H126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126" t="s">
        <v>15</v>
      </c>
      <c r="J126" t="s">
        <v>16</v>
      </c>
      <c r="K126" t="s">
        <v>41</v>
      </c>
      <c r="L126" s="3">
        <v>50</v>
      </c>
      <c r="M126" s="3">
        <v>400</v>
      </c>
      <c r="N126" t="s">
        <v>238</v>
      </c>
      <c r="O126" s="3">
        <v>87.5</v>
      </c>
      <c r="P126" s="3">
        <v>700</v>
      </c>
    </row>
    <row r="127" spans="1:16" x14ac:dyDescent="0.3">
      <c r="A127">
        <v>126</v>
      </c>
      <c r="B127" t="s">
        <v>72</v>
      </c>
      <c r="C127" t="s">
        <v>281</v>
      </c>
      <c r="D127" t="str" cm="1">
        <f t="array" ref="D127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Asia</v>
      </c>
      <c r="E127" s="13">
        <v>44967</v>
      </c>
      <c r="F127">
        <v>8</v>
      </c>
      <c r="G127">
        <v>33</v>
      </c>
      <c r="H127" t="str" cm="1">
        <f t="array" ref="H127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127" t="s">
        <v>21</v>
      </c>
      <c r="J127" t="s">
        <v>22</v>
      </c>
      <c r="K127" t="s">
        <v>17</v>
      </c>
      <c r="L127" s="3">
        <v>100</v>
      </c>
      <c r="M127" s="3">
        <v>800</v>
      </c>
      <c r="N127" t="s">
        <v>238</v>
      </c>
      <c r="O127" s="3">
        <v>100</v>
      </c>
      <c r="P127" s="3">
        <v>800</v>
      </c>
    </row>
    <row r="128" spans="1:16" x14ac:dyDescent="0.3">
      <c r="A128">
        <v>127</v>
      </c>
      <c r="B128" t="s">
        <v>70</v>
      </c>
      <c r="C128" t="s">
        <v>99</v>
      </c>
      <c r="D128" t="str" cm="1">
        <f t="array" ref="D128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Europe</v>
      </c>
      <c r="E128" s="13">
        <v>45047</v>
      </c>
      <c r="F128">
        <v>6</v>
      </c>
      <c r="G128">
        <v>35</v>
      </c>
      <c r="H128" t="str" cm="1">
        <f t="array" ref="H128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128" t="s">
        <v>15</v>
      </c>
      <c r="J128" t="s">
        <v>16</v>
      </c>
      <c r="K128" t="s">
        <v>17</v>
      </c>
      <c r="L128" s="3">
        <v>833.33333333333337</v>
      </c>
      <c r="M128" s="3">
        <v>5000</v>
      </c>
      <c r="N128" t="s">
        <v>238</v>
      </c>
      <c r="O128" s="3">
        <v>416.66666666666669</v>
      </c>
      <c r="P128" s="3">
        <v>2500</v>
      </c>
    </row>
    <row r="129" spans="1:16" x14ac:dyDescent="0.3">
      <c r="A129">
        <v>128</v>
      </c>
      <c r="B129" t="s">
        <v>76</v>
      </c>
      <c r="C129" t="s">
        <v>95</v>
      </c>
      <c r="D129" t="str" cm="1">
        <f t="array" ref="D129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Asia</v>
      </c>
      <c r="E129" s="13">
        <v>45061</v>
      </c>
      <c r="F129">
        <v>7</v>
      </c>
      <c r="G129">
        <v>28</v>
      </c>
      <c r="H129" t="str" cm="1">
        <f t="array" ref="H129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129" t="s">
        <v>21</v>
      </c>
      <c r="J129" t="s">
        <v>30</v>
      </c>
      <c r="K129" t="s">
        <v>34</v>
      </c>
      <c r="L129" s="3">
        <v>1000</v>
      </c>
      <c r="M129" s="3">
        <v>7000</v>
      </c>
      <c r="N129" t="s">
        <v>141</v>
      </c>
      <c r="O129" s="3">
        <v>214.28571428571428</v>
      </c>
      <c r="P129" s="3">
        <v>1500</v>
      </c>
    </row>
    <row r="130" spans="1:16" x14ac:dyDescent="0.3">
      <c r="A130">
        <v>129</v>
      </c>
      <c r="B130" t="s">
        <v>147</v>
      </c>
      <c r="C130" t="s">
        <v>271</v>
      </c>
      <c r="D130" t="str" cm="1">
        <f t="array" ref="D130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Africa</v>
      </c>
      <c r="E130" s="13">
        <v>45078</v>
      </c>
      <c r="F130">
        <v>9</v>
      </c>
      <c r="G130">
        <v>45</v>
      </c>
      <c r="H130" t="str" cm="1">
        <f t="array" ref="H130">_xlfn.IFS(IF(OR(Table1[[#This Row],[Age]] &gt;= 17), Table1[[#This Row],[Age]] &lt; 30),"Young",IF(OR(Table1[[#This Row],[Age]] &gt;= 30), Table1[[#This Row],[Age]] &lt; 45),"Middle-Aged",Table1[[#This Row],[Age]] &gt;= 45,"Old")</f>
        <v>Old</v>
      </c>
      <c r="I130" t="s">
        <v>15</v>
      </c>
      <c r="J130" t="s">
        <v>169</v>
      </c>
      <c r="K130" t="s">
        <v>41</v>
      </c>
      <c r="L130" s="3">
        <v>333.33333333333331</v>
      </c>
      <c r="M130" s="3">
        <v>3000</v>
      </c>
      <c r="N130" t="s">
        <v>172</v>
      </c>
      <c r="O130" s="3">
        <v>222.22222222222223</v>
      </c>
      <c r="P130" s="3">
        <v>2000</v>
      </c>
    </row>
    <row r="131" spans="1:16" x14ac:dyDescent="0.3">
      <c r="A131">
        <v>130</v>
      </c>
      <c r="B131" t="s">
        <v>82</v>
      </c>
      <c r="C131" t="s">
        <v>102</v>
      </c>
      <c r="D131" t="str" cm="1">
        <f t="array" ref="D131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Oceania</v>
      </c>
      <c r="E131" s="13">
        <v>45092</v>
      </c>
      <c r="F131">
        <v>6</v>
      </c>
      <c r="G131">
        <v>31</v>
      </c>
      <c r="H131" t="str" cm="1">
        <f t="array" ref="H131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131" t="s">
        <v>21</v>
      </c>
      <c r="J131" t="s">
        <v>40</v>
      </c>
      <c r="K131" t="s">
        <v>17</v>
      </c>
      <c r="L131" s="3">
        <v>1000</v>
      </c>
      <c r="M131" s="3">
        <v>6000</v>
      </c>
      <c r="N131" t="s">
        <v>238</v>
      </c>
      <c r="O131" s="3">
        <v>500</v>
      </c>
      <c r="P131" s="3">
        <v>3000</v>
      </c>
    </row>
    <row r="132" spans="1:16" x14ac:dyDescent="0.3">
      <c r="A132">
        <v>131</v>
      </c>
      <c r="B132" t="s">
        <v>84</v>
      </c>
      <c r="C132" t="s">
        <v>112</v>
      </c>
      <c r="D132" t="str" cm="1">
        <f t="array" ref="D132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Europe</v>
      </c>
      <c r="E132" s="13">
        <v>45108</v>
      </c>
      <c r="F132">
        <v>7</v>
      </c>
      <c r="G132">
        <v>42</v>
      </c>
      <c r="H132" t="str" cm="1">
        <f t="array" ref="H132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132" t="s">
        <v>15</v>
      </c>
      <c r="J132" t="s">
        <v>26</v>
      </c>
      <c r="K132" t="s">
        <v>34</v>
      </c>
      <c r="L132" s="3">
        <v>571.42857142857144</v>
      </c>
      <c r="M132" s="3">
        <v>4000</v>
      </c>
      <c r="N132" t="s">
        <v>141</v>
      </c>
      <c r="O132" s="3">
        <v>214.28571428571428</v>
      </c>
      <c r="P132" s="3">
        <v>1500</v>
      </c>
    </row>
    <row r="133" spans="1:16" x14ac:dyDescent="0.3">
      <c r="A133">
        <v>132</v>
      </c>
      <c r="B133" t="s">
        <v>79</v>
      </c>
      <c r="C133" t="s">
        <v>197</v>
      </c>
      <c r="D133" t="str" cm="1">
        <f t="array" ref="D133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North America</v>
      </c>
      <c r="E133" s="13">
        <v>45122</v>
      </c>
      <c r="F133">
        <v>7</v>
      </c>
      <c r="G133">
        <v>27</v>
      </c>
      <c r="H133" t="str" cm="1">
        <f t="array" ref="H133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133" t="s">
        <v>21</v>
      </c>
      <c r="J133" t="s">
        <v>16</v>
      </c>
      <c r="K133" t="s">
        <v>17</v>
      </c>
      <c r="L133" s="3">
        <v>1142.8571428571429</v>
      </c>
      <c r="M133" s="3">
        <v>8000</v>
      </c>
      <c r="N133" t="s">
        <v>238</v>
      </c>
      <c r="O133" s="3">
        <v>357.14285714285717</v>
      </c>
      <c r="P133" s="3">
        <v>2500</v>
      </c>
    </row>
    <row r="134" spans="1:16" x14ac:dyDescent="0.3">
      <c r="A134">
        <v>133</v>
      </c>
      <c r="B134" t="s">
        <v>206</v>
      </c>
      <c r="C134" t="s">
        <v>104</v>
      </c>
      <c r="D134" t="str" cm="1">
        <f t="array" ref="D134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South America</v>
      </c>
      <c r="E134" s="13">
        <v>45139</v>
      </c>
      <c r="F134">
        <v>9</v>
      </c>
      <c r="G134">
        <v>37</v>
      </c>
      <c r="H134" t="str" cm="1">
        <f t="array" ref="H134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134" t="s">
        <v>15</v>
      </c>
      <c r="J134" t="s">
        <v>44</v>
      </c>
      <c r="K134" t="s">
        <v>41</v>
      </c>
      <c r="L134" s="3">
        <v>277.77777777777777</v>
      </c>
      <c r="M134" s="3">
        <v>2500</v>
      </c>
      <c r="N134" t="s">
        <v>172</v>
      </c>
      <c r="O134" s="3">
        <v>222.22222222222223</v>
      </c>
      <c r="P134" s="3">
        <v>2000</v>
      </c>
    </row>
    <row r="135" spans="1:16" x14ac:dyDescent="0.3">
      <c r="A135">
        <v>134</v>
      </c>
      <c r="B135" t="s">
        <v>266</v>
      </c>
      <c r="C135" t="s">
        <v>116</v>
      </c>
      <c r="D135" t="str" cm="1">
        <f t="array" ref="D135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North America</v>
      </c>
      <c r="E135" s="13">
        <v>45153</v>
      </c>
      <c r="F135">
        <v>6</v>
      </c>
      <c r="G135">
        <v>29</v>
      </c>
      <c r="H135" t="str" cm="1">
        <f t="array" ref="H135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135" t="s">
        <v>21</v>
      </c>
      <c r="J135" t="s">
        <v>22</v>
      </c>
      <c r="K135" t="s">
        <v>17</v>
      </c>
      <c r="L135" s="3">
        <v>833.33333333333337</v>
      </c>
      <c r="M135" s="3">
        <v>5000</v>
      </c>
      <c r="N135" t="s">
        <v>238</v>
      </c>
      <c r="O135" s="3">
        <v>500</v>
      </c>
      <c r="P135" s="3">
        <v>3000</v>
      </c>
    </row>
    <row r="136" spans="1:16" x14ac:dyDescent="0.3">
      <c r="A136">
        <v>135</v>
      </c>
      <c r="B136" t="s">
        <v>87</v>
      </c>
      <c r="C136" t="s">
        <v>97</v>
      </c>
      <c r="D136" t="str" cm="1">
        <f t="array" ref="D136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Asia</v>
      </c>
      <c r="E136" s="13">
        <v>45170</v>
      </c>
      <c r="F136">
        <v>7</v>
      </c>
      <c r="G136">
        <v>34</v>
      </c>
      <c r="H136" t="str" cm="1">
        <f t="array" ref="H136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136" t="s">
        <v>15</v>
      </c>
      <c r="J136" t="s">
        <v>59</v>
      </c>
      <c r="K136" t="s">
        <v>41</v>
      </c>
      <c r="L136" s="3">
        <v>285.71428571428572</v>
      </c>
      <c r="M136" s="3">
        <v>2000</v>
      </c>
      <c r="N136" t="s">
        <v>141</v>
      </c>
      <c r="O136" s="3">
        <v>142.85714285714286</v>
      </c>
      <c r="P136" s="3">
        <v>1000</v>
      </c>
    </row>
    <row r="137" spans="1:16" x14ac:dyDescent="0.3">
      <c r="A137">
        <v>136</v>
      </c>
      <c r="B137" t="s">
        <v>93</v>
      </c>
      <c r="C137" t="s">
        <v>114</v>
      </c>
      <c r="D137" t="str" cm="1">
        <f t="array" ref="D137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Europe</v>
      </c>
      <c r="E137" s="13">
        <v>45184</v>
      </c>
      <c r="F137">
        <v>7</v>
      </c>
      <c r="G137">
        <v>25</v>
      </c>
      <c r="H137" t="str" cm="1">
        <f t="array" ref="H137">_xlfn.IFS(IF(OR(Table1[[#This Row],[Age]] &gt;= 17), Table1[[#This Row],[Age]] &lt; 30),"Young",IF(OR(Table1[[#This Row],[Age]] &gt;= 30), Table1[[#This Row],[Age]] &lt; 45),"Middle-Aged",Table1[[#This Row],[Age]] &gt;= 45,"Old")</f>
        <v>Young</v>
      </c>
      <c r="I137" t="s">
        <v>21</v>
      </c>
      <c r="J137" t="s">
        <v>56</v>
      </c>
      <c r="K137" t="s">
        <v>34</v>
      </c>
      <c r="L137" s="3">
        <v>857.14285714285711</v>
      </c>
      <c r="M137" s="3">
        <v>6000</v>
      </c>
      <c r="N137" t="s">
        <v>238</v>
      </c>
      <c r="O137" s="3">
        <v>357.14285714285717</v>
      </c>
      <c r="P137" s="3">
        <v>2500</v>
      </c>
    </row>
    <row r="138" spans="1:16" x14ac:dyDescent="0.3">
      <c r="A138">
        <v>137</v>
      </c>
      <c r="B138" t="s">
        <v>269</v>
      </c>
      <c r="C138" t="s">
        <v>285</v>
      </c>
      <c r="D138" t="str" cm="1">
        <f t="array" ref="D138">_xlfn.IFS(COUNTIF(Table001__Page_1[[#All],[Column1]], "*"&amp;Table1[[#This Row],[Travel Country]]&amp;"*")&gt;0,"Europe",COUNTIF(Table001__Page_1[Column2], "*"&amp;Table1[[#This Row],[Travel Country]]&amp;"*")&gt;0,"Africa",COUNTIF(Table001__Page_1[Column3], "*"&amp;Table1[[#This Row],[Travel Country]]&amp;"*")&gt;0,"Asia",COUNTIF(Table001__Page_1[Column4], "*"&amp;Table1[[#This Row],[Travel Country]]&amp;"*")&gt;0,"Oceania",COUNTIF(Table001__Page_1[Column5], "*"&amp;Table1[[#This Row],[Travel Country]]&amp;"*")&gt;0,"North America",COUNTIF(Table001__Page_1[Column6], "*"&amp;Table1[[#This Row],[Travel Country]]&amp;"*")&gt;0,"South America")</f>
        <v>Oceania</v>
      </c>
      <c r="E138" s="13">
        <v>45200</v>
      </c>
      <c r="F138">
        <v>7</v>
      </c>
      <c r="G138">
        <v>39</v>
      </c>
      <c r="H138" t="str" cm="1">
        <f t="array" ref="H138">_xlfn.IFS(IF(OR(Table1[[#This Row],[Age]] &gt;= 17), Table1[[#This Row],[Age]] &lt; 30),"Young",IF(OR(Table1[[#This Row],[Age]] &gt;= 30), Table1[[#This Row],[Age]] &lt; 45),"Middle-Aged",Table1[[#This Row],[Age]] &gt;= 45,"Old")</f>
        <v>Middle-Aged</v>
      </c>
      <c r="I138" t="s">
        <v>15</v>
      </c>
      <c r="J138" t="s">
        <v>248</v>
      </c>
      <c r="K138" t="s">
        <v>17</v>
      </c>
      <c r="L138" s="3">
        <v>1000</v>
      </c>
      <c r="M138" s="3">
        <v>7000</v>
      </c>
      <c r="N138" t="s">
        <v>141</v>
      </c>
      <c r="O138" s="3">
        <v>357.14285714285717</v>
      </c>
      <c r="P138" s="3">
        <v>2500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FC2C7-7F1D-48E8-9D15-ACA88DCAA820}">
  <sheetPr codeName="Sheet3"/>
  <dimension ref="A1:Q45"/>
  <sheetViews>
    <sheetView tabSelected="1" workbookViewId="0">
      <selection activeCell="R31" sqref="R31"/>
    </sheetView>
  </sheetViews>
  <sheetFormatPr defaultRowHeight="14.4" x14ac:dyDescent="0.3"/>
  <sheetData>
    <row r="1" spans="1:17" x14ac:dyDescent="0.3">
      <c r="A1" s="20" t="s">
        <v>531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</row>
    <row r="2" spans="1:17" x14ac:dyDescent="0.3">
      <c r="A2" t="s">
        <v>586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</row>
    <row r="3" spans="1:17" x14ac:dyDescent="0.3"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</row>
    <row r="4" spans="1:17" x14ac:dyDescent="0.3">
      <c r="A4" s="9" t="s">
        <v>280</v>
      </c>
    </row>
    <row r="5" spans="1:17" x14ac:dyDescent="0.3">
      <c r="A5" t="s">
        <v>520</v>
      </c>
    </row>
    <row r="6" spans="1:17" x14ac:dyDescent="0.3">
      <c r="A6" s="7"/>
    </row>
    <row r="7" spans="1:17" x14ac:dyDescent="0.3">
      <c r="A7" s="9" t="s">
        <v>521</v>
      </c>
    </row>
    <row r="8" spans="1:17" s="11" customFormat="1" x14ac:dyDescent="0.3">
      <c r="A8" s="11" t="s">
        <v>522</v>
      </c>
    </row>
    <row r="9" spans="1:17" s="11" customFormat="1" x14ac:dyDescent="0.3">
      <c r="A9" s="11" t="s">
        <v>523</v>
      </c>
    </row>
    <row r="10" spans="1:17" s="11" customFormat="1" x14ac:dyDescent="0.3">
      <c r="A10" s="11" t="s">
        <v>561</v>
      </c>
    </row>
    <row r="11" spans="1:17" s="11" customFormat="1" x14ac:dyDescent="0.3">
      <c r="A11" s="11" t="s">
        <v>559</v>
      </c>
    </row>
    <row r="13" spans="1:17" x14ac:dyDescent="0.3">
      <c r="A13" s="9" t="s">
        <v>249</v>
      </c>
    </row>
    <row r="14" spans="1:17" x14ac:dyDescent="0.3">
      <c r="A14" s="8" t="s">
        <v>250</v>
      </c>
    </row>
    <row r="15" spans="1:17" x14ac:dyDescent="0.3">
      <c r="A15" s="8" t="s">
        <v>254</v>
      </c>
    </row>
    <row r="16" spans="1:17" x14ac:dyDescent="0.3">
      <c r="A16" t="s">
        <v>255</v>
      </c>
    </row>
    <row r="17" spans="1:1" x14ac:dyDescent="0.3">
      <c r="A17" t="s">
        <v>256</v>
      </c>
    </row>
    <row r="18" spans="1:1" x14ac:dyDescent="0.3">
      <c r="A18" s="8" t="s">
        <v>272</v>
      </c>
    </row>
    <row r="19" spans="1:1" x14ac:dyDescent="0.3">
      <c r="A19" t="s">
        <v>273</v>
      </c>
    </row>
    <row r="20" spans="1:1" x14ac:dyDescent="0.3">
      <c r="A20" t="s">
        <v>274</v>
      </c>
    </row>
    <row r="21" spans="1:1" x14ac:dyDescent="0.3">
      <c r="A21" t="s">
        <v>275</v>
      </c>
    </row>
    <row r="22" spans="1:1" x14ac:dyDescent="0.3">
      <c r="A22" t="s">
        <v>590</v>
      </c>
    </row>
    <row r="23" spans="1:1" x14ac:dyDescent="0.3">
      <c r="A23" s="8" t="s">
        <v>587</v>
      </c>
    </row>
    <row r="24" spans="1:1" x14ac:dyDescent="0.3">
      <c r="A24" s="17" t="s">
        <v>588</v>
      </c>
    </row>
    <row r="25" spans="1:1" x14ac:dyDescent="0.3">
      <c r="A25" s="17" t="s">
        <v>598</v>
      </c>
    </row>
    <row r="26" spans="1:1" x14ac:dyDescent="0.3">
      <c r="A26" s="17" t="s">
        <v>589</v>
      </c>
    </row>
    <row r="27" spans="1:1" x14ac:dyDescent="0.3">
      <c r="A27" s="8" t="s">
        <v>279</v>
      </c>
    </row>
    <row r="29" spans="1:1" x14ac:dyDescent="0.3">
      <c r="A29" s="9" t="s">
        <v>276</v>
      </c>
    </row>
    <row r="30" spans="1:1" x14ac:dyDescent="0.3">
      <c r="A30" t="s">
        <v>603</v>
      </c>
    </row>
    <row r="40" spans="1:1" x14ac:dyDescent="0.3">
      <c r="A40" s="9" t="s">
        <v>534</v>
      </c>
    </row>
    <row r="41" spans="1:1" x14ac:dyDescent="0.3">
      <c r="A41" t="s">
        <v>594</v>
      </c>
    </row>
    <row r="42" spans="1:1" x14ac:dyDescent="0.3">
      <c r="A42" t="s">
        <v>600</v>
      </c>
    </row>
    <row r="43" spans="1:1" x14ac:dyDescent="0.3">
      <c r="A43" t="s">
        <v>604</v>
      </c>
    </row>
    <row r="44" spans="1:1" x14ac:dyDescent="0.3">
      <c r="A44" t="s">
        <v>601</v>
      </c>
    </row>
    <row r="45" spans="1:1" x14ac:dyDescent="0.3">
      <c r="A45" t="s">
        <v>602</v>
      </c>
    </row>
  </sheetData>
  <mergeCells count="1">
    <mergeCell ref="A1:Q1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D7859-B664-4A09-A726-FBE60A2C1C09}">
  <sheetPr codeName="Sheet10"/>
  <dimension ref="A1:M37"/>
  <sheetViews>
    <sheetView zoomScale="70" zoomScaleNormal="70" workbookViewId="0">
      <selection activeCell="D35" sqref="D35"/>
    </sheetView>
  </sheetViews>
  <sheetFormatPr defaultRowHeight="14.4" x14ac:dyDescent="0.3"/>
  <cols>
    <col min="1" max="1" width="17.109375" bestFit="1" customWidth="1"/>
    <col min="2" max="2" width="22.21875" bestFit="1" customWidth="1"/>
    <col min="3" max="3" width="18.5546875" bestFit="1" customWidth="1"/>
    <col min="4" max="4" width="18.21875" bestFit="1" customWidth="1"/>
    <col min="5" max="5" width="20.6640625" bestFit="1" customWidth="1"/>
    <col min="6" max="6" width="17.109375" bestFit="1" customWidth="1"/>
    <col min="7" max="7" width="33.77734375" bestFit="1" customWidth="1"/>
    <col min="8" max="8" width="4.5546875" bestFit="1" customWidth="1"/>
    <col min="9" max="9" width="7.21875" bestFit="1" customWidth="1"/>
    <col min="10" max="10" width="13.88671875" bestFit="1" customWidth="1"/>
    <col min="11" max="11" width="7.88671875" bestFit="1" customWidth="1"/>
    <col min="12" max="12" width="13.77734375" bestFit="1" customWidth="1"/>
    <col min="13" max="14" width="11.109375" bestFit="1" customWidth="1"/>
  </cols>
  <sheetData>
    <row r="1" spans="1:13" x14ac:dyDescent="0.3">
      <c r="A1" t="s">
        <v>532</v>
      </c>
    </row>
    <row r="3" spans="1:13" x14ac:dyDescent="0.3">
      <c r="A3" s="21" t="s">
        <v>529</v>
      </c>
      <c r="B3" s="21"/>
      <c r="C3" s="21"/>
      <c r="D3" s="21"/>
      <c r="F3" s="21" t="s">
        <v>530</v>
      </c>
      <c r="G3" s="21"/>
      <c r="H3" s="21"/>
      <c r="I3" s="21"/>
      <c r="J3" s="21"/>
      <c r="K3" s="21"/>
      <c r="L3" s="21"/>
      <c r="M3" s="21"/>
    </row>
    <row r="5" spans="1:13" x14ac:dyDescent="0.3">
      <c r="A5" s="4" t="s">
        <v>524</v>
      </c>
      <c r="B5" t="s">
        <v>562</v>
      </c>
      <c r="C5" t="s">
        <v>563</v>
      </c>
      <c r="D5" t="s">
        <v>564</v>
      </c>
      <c r="F5" s="4" t="s">
        <v>526</v>
      </c>
      <c r="G5" s="4" t="s">
        <v>525</v>
      </c>
    </row>
    <row r="6" spans="1:13" x14ac:dyDescent="0.3">
      <c r="A6" s="5" t="s">
        <v>21</v>
      </c>
      <c r="B6" s="3">
        <v>7.7</v>
      </c>
      <c r="C6" s="3">
        <v>14</v>
      </c>
      <c r="D6" s="3">
        <v>5</v>
      </c>
      <c r="F6" s="4" t="s">
        <v>524</v>
      </c>
      <c r="G6" t="s">
        <v>288</v>
      </c>
      <c r="H6" t="s">
        <v>289</v>
      </c>
      <c r="I6" t="s">
        <v>287</v>
      </c>
      <c r="J6" t="s">
        <v>290</v>
      </c>
      <c r="K6" t="s">
        <v>515</v>
      </c>
      <c r="L6" t="s">
        <v>516</v>
      </c>
      <c r="M6" t="s">
        <v>259</v>
      </c>
    </row>
    <row r="7" spans="1:13" x14ac:dyDescent="0.3">
      <c r="A7" s="6" t="s">
        <v>574</v>
      </c>
      <c r="B7" s="3">
        <v>7.6</v>
      </c>
      <c r="C7" s="3">
        <v>11</v>
      </c>
      <c r="D7" s="3">
        <v>5</v>
      </c>
      <c r="F7" s="5" t="s">
        <v>21</v>
      </c>
      <c r="G7">
        <v>4</v>
      </c>
      <c r="H7">
        <v>25</v>
      </c>
      <c r="I7">
        <v>23</v>
      </c>
      <c r="J7">
        <v>10</v>
      </c>
      <c r="K7">
        <v>6</v>
      </c>
      <c r="L7">
        <v>2</v>
      </c>
      <c r="M7">
        <v>70</v>
      </c>
    </row>
    <row r="8" spans="1:13" x14ac:dyDescent="0.3">
      <c r="A8" s="6" t="s">
        <v>575</v>
      </c>
      <c r="B8" s="3">
        <v>7.8</v>
      </c>
      <c r="C8" s="3">
        <v>14</v>
      </c>
      <c r="D8" s="3">
        <v>5</v>
      </c>
      <c r="F8" s="6" t="s">
        <v>574</v>
      </c>
      <c r="G8">
        <v>1</v>
      </c>
      <c r="H8">
        <v>9</v>
      </c>
      <c r="I8">
        <v>17</v>
      </c>
      <c r="J8">
        <v>3</v>
      </c>
      <c r="K8">
        <v>3</v>
      </c>
      <c r="L8">
        <v>2</v>
      </c>
      <c r="M8">
        <v>35</v>
      </c>
    </row>
    <row r="9" spans="1:13" x14ac:dyDescent="0.3">
      <c r="A9" s="5" t="s">
        <v>15</v>
      </c>
      <c r="B9" s="3">
        <v>7.5074626865671643</v>
      </c>
      <c r="C9" s="3">
        <v>11</v>
      </c>
      <c r="D9" s="3">
        <v>5</v>
      </c>
      <c r="F9" s="6" t="s">
        <v>575</v>
      </c>
      <c r="G9">
        <v>3</v>
      </c>
      <c r="H9">
        <v>16</v>
      </c>
      <c r="I9">
        <v>6</v>
      </c>
      <c r="J9">
        <v>7</v>
      </c>
      <c r="K9">
        <v>3</v>
      </c>
      <c r="M9">
        <v>35</v>
      </c>
    </row>
    <row r="10" spans="1:13" x14ac:dyDescent="0.3">
      <c r="A10" s="6" t="s">
        <v>574</v>
      </c>
      <c r="B10" s="3">
        <v>7.1470588235294121</v>
      </c>
      <c r="C10" s="3">
        <v>11</v>
      </c>
      <c r="D10" s="3">
        <v>5</v>
      </c>
      <c r="F10" s="5" t="s">
        <v>15</v>
      </c>
      <c r="G10">
        <v>2</v>
      </c>
      <c r="H10">
        <v>18</v>
      </c>
      <c r="I10">
        <v>24</v>
      </c>
      <c r="J10">
        <v>11</v>
      </c>
      <c r="K10">
        <v>8</v>
      </c>
      <c r="L10">
        <v>4</v>
      </c>
      <c r="M10">
        <v>67</v>
      </c>
    </row>
    <row r="11" spans="1:13" x14ac:dyDescent="0.3">
      <c r="A11" s="6" t="s">
        <v>575</v>
      </c>
      <c r="B11" s="3">
        <v>8</v>
      </c>
      <c r="C11" s="3">
        <v>11</v>
      </c>
      <c r="D11" s="3">
        <v>6</v>
      </c>
      <c r="F11" s="6" t="s">
        <v>574</v>
      </c>
      <c r="G11">
        <v>1</v>
      </c>
      <c r="H11">
        <v>6</v>
      </c>
      <c r="I11">
        <v>14</v>
      </c>
      <c r="J11">
        <v>5</v>
      </c>
      <c r="K11">
        <v>5</v>
      </c>
      <c r="L11">
        <v>3</v>
      </c>
      <c r="M11">
        <v>34</v>
      </c>
    </row>
    <row r="12" spans="1:13" x14ac:dyDescent="0.3">
      <c r="A12" s="6" t="s">
        <v>576</v>
      </c>
      <c r="B12" s="3">
        <v>7.7142857142857144</v>
      </c>
      <c r="C12" s="3">
        <v>10</v>
      </c>
      <c r="D12" s="3">
        <v>6</v>
      </c>
      <c r="F12" s="6" t="s">
        <v>575</v>
      </c>
      <c r="H12">
        <v>8</v>
      </c>
      <c r="I12">
        <v>6</v>
      </c>
      <c r="J12">
        <v>3</v>
      </c>
      <c r="K12">
        <v>1</v>
      </c>
      <c r="L12">
        <v>1</v>
      </c>
      <c r="M12">
        <v>19</v>
      </c>
    </row>
    <row r="13" spans="1:13" x14ac:dyDescent="0.3">
      <c r="A13" s="5" t="s">
        <v>259</v>
      </c>
      <c r="B13" s="3">
        <v>7.6058394160583944</v>
      </c>
      <c r="C13" s="3">
        <v>14</v>
      </c>
      <c r="D13" s="3">
        <v>5</v>
      </c>
      <c r="F13" s="6" t="s">
        <v>576</v>
      </c>
      <c r="G13">
        <v>1</v>
      </c>
      <c r="H13">
        <v>4</v>
      </c>
      <c r="I13">
        <v>4</v>
      </c>
      <c r="J13">
        <v>3</v>
      </c>
      <c r="K13">
        <v>2</v>
      </c>
      <c r="M13">
        <v>14</v>
      </c>
    </row>
    <row r="14" spans="1:13" x14ac:dyDescent="0.3">
      <c r="F14" s="5" t="s">
        <v>259</v>
      </c>
      <c r="G14">
        <v>6</v>
      </c>
      <c r="H14">
        <v>43</v>
      </c>
      <c r="I14">
        <v>47</v>
      </c>
      <c r="J14">
        <v>21</v>
      </c>
      <c r="K14">
        <v>14</v>
      </c>
      <c r="L14">
        <v>6</v>
      </c>
      <c r="M14">
        <v>137</v>
      </c>
    </row>
    <row r="31" spans="1:4" x14ac:dyDescent="0.3">
      <c r="A31" s="14" t="s">
        <v>567</v>
      </c>
      <c r="B31" s="14"/>
      <c r="C31" s="14"/>
      <c r="D31" s="14"/>
    </row>
    <row r="32" spans="1:4" x14ac:dyDescent="0.3">
      <c r="A32" s="14" t="s">
        <v>595</v>
      </c>
      <c r="B32" s="14"/>
      <c r="C32" s="14"/>
      <c r="D32" s="14"/>
    </row>
    <row r="33" spans="1:10" x14ac:dyDescent="0.3">
      <c r="A33" s="14" t="s">
        <v>518</v>
      </c>
      <c r="B33" s="14"/>
      <c r="C33" s="14"/>
      <c r="D33" s="14"/>
    </row>
    <row r="34" spans="1:10" x14ac:dyDescent="0.3">
      <c r="A34" s="14" t="s">
        <v>519</v>
      </c>
      <c r="B34" s="14"/>
      <c r="C34" s="14"/>
      <c r="D34" s="14"/>
    </row>
    <row r="35" spans="1:10" x14ac:dyDescent="0.3">
      <c r="F35" s="14" t="s">
        <v>568</v>
      </c>
      <c r="G35" s="14"/>
      <c r="H35" s="14"/>
      <c r="I35" s="14"/>
      <c r="J35" s="14"/>
    </row>
    <row r="36" spans="1:10" x14ac:dyDescent="0.3">
      <c r="F36" s="14" t="s">
        <v>527</v>
      </c>
      <c r="G36" s="14"/>
      <c r="H36" s="14"/>
      <c r="I36" s="14"/>
      <c r="J36" s="14"/>
    </row>
    <row r="37" spans="1:10" x14ac:dyDescent="0.3">
      <c r="F37" s="14" t="s">
        <v>528</v>
      </c>
      <c r="G37" s="14"/>
      <c r="H37" s="14"/>
      <c r="I37" s="14"/>
      <c r="J37" s="14"/>
    </row>
  </sheetData>
  <mergeCells count="2">
    <mergeCell ref="A3:D3"/>
    <mergeCell ref="F3:M3"/>
  </mergeCells>
  <conditionalFormatting pivot="1">
    <cfRule type="top10" dxfId="25" priority="10" rank="2"/>
  </conditionalFormatting>
  <conditionalFormatting pivot="1">
    <cfRule type="top10" dxfId="24" priority="9" rank="1"/>
  </conditionalFormatting>
  <conditionalFormatting pivot="1">
    <cfRule type="top10" dxfId="23" priority="8" rank="1"/>
  </conditionalFormatting>
  <conditionalFormatting pivot="1">
    <cfRule type="top10" dxfId="22" priority="7" rank="2"/>
  </conditionalFormatting>
  <conditionalFormatting pivot="1">
    <cfRule type="top10" dxfId="21" priority="6" rank="2"/>
  </conditionalFormatting>
  <conditionalFormatting pivot="1">
    <cfRule type="top10" dxfId="20" priority="5" rank="1"/>
  </conditionalFormatting>
  <conditionalFormatting pivot="1">
    <cfRule type="top10" dxfId="19" priority="4" rank="1"/>
  </conditionalFormatting>
  <conditionalFormatting pivot="1">
    <cfRule type="top10" dxfId="18" priority="3" rank="1"/>
  </conditionalFormatting>
  <conditionalFormatting pivot="1" sqref="G7:L7">
    <cfRule type="top10" dxfId="17" priority="2" rank="2"/>
  </conditionalFormatting>
  <conditionalFormatting pivot="1" sqref="G10:L10">
    <cfRule type="top10" dxfId="16" priority="1" rank="2"/>
  </conditionalFormatting>
  <pageMargins left="0.7" right="0.7" top="0.75" bottom="0.75" header="0.3" footer="0.3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A98CA-6E12-46B8-803E-42FCA689C908}">
  <dimension ref="A1:P38"/>
  <sheetViews>
    <sheetView topLeftCell="A2" zoomScale="70" zoomScaleNormal="70" workbookViewId="0">
      <selection activeCell="J33" sqref="J33"/>
    </sheetView>
  </sheetViews>
  <sheetFormatPr defaultRowHeight="14.4" x14ac:dyDescent="0.3"/>
  <cols>
    <col min="1" max="1" width="28" bestFit="1" customWidth="1"/>
    <col min="2" max="2" width="21.21875" bestFit="1" customWidth="1"/>
    <col min="3" max="3" width="11.33203125" bestFit="1" customWidth="1"/>
    <col min="4" max="4" width="6.6640625" bestFit="1" customWidth="1"/>
    <col min="5" max="5" width="5.77734375" bestFit="1" customWidth="1"/>
    <col min="6" max="6" width="6.77734375" bestFit="1" customWidth="1"/>
    <col min="7" max="7" width="4.6640625" bestFit="1" customWidth="1"/>
    <col min="8" max="8" width="6.109375" customWidth="1"/>
    <col min="9" max="9" width="17.77734375" customWidth="1"/>
    <col min="10" max="10" width="26.77734375" bestFit="1" customWidth="1"/>
    <col min="11" max="11" width="21.88671875" customWidth="1"/>
    <col min="12" max="12" width="4.109375" bestFit="1" customWidth="1"/>
    <col min="13" max="13" width="3.88671875" bestFit="1" customWidth="1"/>
    <col min="14" max="14" width="5.6640625" bestFit="1" customWidth="1"/>
    <col min="15" max="15" width="7.77734375" bestFit="1" customWidth="1"/>
    <col min="16" max="16" width="11.21875" bestFit="1" customWidth="1"/>
    <col min="17" max="17" width="11" bestFit="1" customWidth="1"/>
    <col min="18" max="18" width="12.109375" bestFit="1" customWidth="1"/>
    <col min="19" max="19" width="9.33203125" bestFit="1" customWidth="1"/>
    <col min="20" max="20" width="17.88671875" bestFit="1" customWidth="1"/>
    <col min="21" max="21" width="12.109375" bestFit="1" customWidth="1"/>
    <col min="22" max="22" width="18.6640625" bestFit="1" customWidth="1"/>
    <col min="23" max="23" width="17.88671875" bestFit="1" customWidth="1"/>
    <col min="24" max="24" width="9.6640625" bestFit="1" customWidth="1"/>
    <col min="25" max="25" width="12.109375" bestFit="1" customWidth="1"/>
    <col min="26" max="26" width="9.21875" bestFit="1" customWidth="1"/>
    <col min="27" max="27" width="10.77734375" bestFit="1" customWidth="1"/>
  </cols>
  <sheetData>
    <row r="1" spans="1:16" x14ac:dyDescent="0.3">
      <c r="A1" s="10" t="s">
        <v>533</v>
      </c>
    </row>
    <row r="3" spans="1:16" x14ac:dyDescent="0.3">
      <c r="A3" s="21" t="s">
        <v>565</v>
      </c>
      <c r="B3" s="21"/>
      <c r="C3" s="21"/>
      <c r="D3" s="21"/>
      <c r="E3" s="21"/>
      <c r="F3" s="21"/>
      <c r="G3" s="21"/>
      <c r="H3" s="21"/>
      <c r="I3" s="15"/>
      <c r="J3" s="21" t="s">
        <v>566</v>
      </c>
      <c r="K3" s="21"/>
      <c r="L3" s="21"/>
      <c r="M3" s="21"/>
      <c r="N3" s="21"/>
      <c r="O3" s="21"/>
      <c r="P3" s="15"/>
    </row>
    <row r="5" spans="1:16" x14ac:dyDescent="0.3">
      <c r="A5" s="4" t="s">
        <v>535</v>
      </c>
      <c r="B5" s="4" t="s">
        <v>536</v>
      </c>
      <c r="J5" s="4" t="s">
        <v>537</v>
      </c>
      <c r="K5" s="4" t="s">
        <v>538</v>
      </c>
    </row>
    <row r="6" spans="1:16" x14ac:dyDescent="0.3">
      <c r="A6" s="4" t="s">
        <v>524</v>
      </c>
      <c r="B6" t="s">
        <v>34</v>
      </c>
      <c r="C6" t="s">
        <v>170</v>
      </c>
      <c r="D6" t="s">
        <v>41</v>
      </c>
      <c r="E6" t="s">
        <v>17</v>
      </c>
      <c r="F6" t="s">
        <v>23</v>
      </c>
      <c r="G6" t="s">
        <v>66</v>
      </c>
      <c r="H6" t="s">
        <v>27</v>
      </c>
      <c r="J6" s="4" t="s">
        <v>524</v>
      </c>
      <c r="K6" t="s">
        <v>238</v>
      </c>
      <c r="L6" t="s">
        <v>81</v>
      </c>
      <c r="M6" t="s">
        <v>172</v>
      </c>
      <c r="N6" t="s">
        <v>222</v>
      </c>
      <c r="O6" t="s">
        <v>141</v>
      </c>
    </row>
    <row r="7" spans="1:16" x14ac:dyDescent="0.3">
      <c r="A7" s="5" t="s">
        <v>21</v>
      </c>
      <c r="B7">
        <v>19</v>
      </c>
      <c r="D7">
        <v>9</v>
      </c>
      <c r="E7">
        <v>31</v>
      </c>
      <c r="F7">
        <v>9</v>
      </c>
      <c r="G7">
        <v>1</v>
      </c>
      <c r="H7">
        <v>1</v>
      </c>
      <c r="J7" s="5" t="s">
        <v>21</v>
      </c>
      <c r="K7">
        <v>41</v>
      </c>
      <c r="L7">
        <v>5</v>
      </c>
      <c r="M7">
        <v>6</v>
      </c>
      <c r="O7">
        <v>18</v>
      </c>
    </row>
    <row r="8" spans="1:16" x14ac:dyDescent="0.3">
      <c r="A8" s="6" t="s">
        <v>574</v>
      </c>
      <c r="B8">
        <v>5</v>
      </c>
      <c r="D8">
        <v>5</v>
      </c>
      <c r="E8">
        <v>19</v>
      </c>
      <c r="F8">
        <v>6</v>
      </c>
      <c r="J8" s="6" t="s">
        <v>574</v>
      </c>
      <c r="K8">
        <v>22</v>
      </c>
      <c r="L8">
        <v>2</v>
      </c>
      <c r="M8">
        <v>1</v>
      </c>
      <c r="O8">
        <v>10</v>
      </c>
    </row>
    <row r="9" spans="1:16" x14ac:dyDescent="0.3">
      <c r="A9" s="6" t="s">
        <v>575</v>
      </c>
      <c r="B9">
        <v>14</v>
      </c>
      <c r="D9">
        <v>4</v>
      </c>
      <c r="E9">
        <v>12</v>
      </c>
      <c r="F9">
        <v>3</v>
      </c>
      <c r="G9">
        <v>1</v>
      </c>
      <c r="H9">
        <v>1</v>
      </c>
      <c r="J9" s="6" t="s">
        <v>575</v>
      </c>
      <c r="K9">
        <v>19</v>
      </c>
      <c r="L9">
        <v>3</v>
      </c>
      <c r="M9">
        <v>5</v>
      </c>
      <c r="O9">
        <v>8</v>
      </c>
    </row>
    <row r="10" spans="1:16" x14ac:dyDescent="0.3">
      <c r="A10" s="5" t="s">
        <v>15</v>
      </c>
      <c r="B10">
        <v>13</v>
      </c>
      <c r="C10">
        <v>1</v>
      </c>
      <c r="D10">
        <v>15</v>
      </c>
      <c r="E10">
        <v>30</v>
      </c>
      <c r="F10">
        <v>5</v>
      </c>
      <c r="H10">
        <v>3</v>
      </c>
      <c r="J10" s="5" t="s">
        <v>15</v>
      </c>
      <c r="K10">
        <v>35</v>
      </c>
      <c r="L10">
        <v>1</v>
      </c>
      <c r="M10">
        <v>10</v>
      </c>
      <c r="N10">
        <v>1</v>
      </c>
      <c r="O10">
        <v>20</v>
      </c>
    </row>
    <row r="11" spans="1:16" x14ac:dyDescent="0.3">
      <c r="A11" s="6" t="s">
        <v>574</v>
      </c>
      <c r="B11">
        <v>5</v>
      </c>
      <c r="C11">
        <v>1</v>
      </c>
      <c r="D11">
        <v>5</v>
      </c>
      <c r="E11">
        <v>20</v>
      </c>
      <c r="F11">
        <v>2</v>
      </c>
      <c r="H11">
        <v>1</v>
      </c>
      <c r="J11" s="6" t="s">
        <v>574</v>
      </c>
      <c r="K11">
        <v>17</v>
      </c>
      <c r="M11">
        <v>5</v>
      </c>
      <c r="O11">
        <v>12</v>
      </c>
    </row>
    <row r="12" spans="1:16" x14ac:dyDescent="0.3">
      <c r="A12" s="6" t="s">
        <v>575</v>
      </c>
      <c r="B12">
        <v>6</v>
      </c>
      <c r="D12">
        <v>7</v>
      </c>
      <c r="E12">
        <v>4</v>
      </c>
      <c r="F12">
        <v>2</v>
      </c>
      <c r="J12" s="6" t="s">
        <v>575</v>
      </c>
      <c r="K12">
        <v>9</v>
      </c>
      <c r="L12">
        <v>1</v>
      </c>
      <c r="M12">
        <v>3</v>
      </c>
      <c r="N12">
        <v>1</v>
      </c>
      <c r="O12">
        <v>5</v>
      </c>
    </row>
    <row r="13" spans="1:16" x14ac:dyDescent="0.3">
      <c r="A13" s="6" t="s">
        <v>576</v>
      </c>
      <c r="B13">
        <v>2</v>
      </c>
      <c r="D13">
        <v>3</v>
      </c>
      <c r="E13">
        <v>6</v>
      </c>
      <c r="F13">
        <v>1</v>
      </c>
      <c r="H13">
        <v>2</v>
      </c>
      <c r="J13" s="6" t="s">
        <v>576</v>
      </c>
      <c r="K13">
        <v>9</v>
      </c>
      <c r="M13">
        <v>2</v>
      </c>
      <c r="O13">
        <v>3</v>
      </c>
    </row>
    <row r="14" spans="1:16" x14ac:dyDescent="0.3">
      <c r="A14" s="5" t="s">
        <v>259</v>
      </c>
      <c r="B14">
        <v>32</v>
      </c>
      <c r="C14">
        <v>1</v>
      </c>
      <c r="D14">
        <v>24</v>
      </c>
      <c r="E14">
        <v>61</v>
      </c>
      <c r="F14">
        <v>14</v>
      </c>
      <c r="G14">
        <v>1</v>
      </c>
      <c r="H14">
        <v>4</v>
      </c>
      <c r="J14" s="5" t="s">
        <v>259</v>
      </c>
      <c r="K14">
        <v>76</v>
      </c>
      <c r="L14">
        <v>6</v>
      </c>
      <c r="M14">
        <v>16</v>
      </c>
      <c r="N14">
        <v>1</v>
      </c>
      <c r="O14">
        <v>38</v>
      </c>
    </row>
    <row r="34" spans="1:16" x14ac:dyDescent="0.3">
      <c r="A34" s="14" t="s">
        <v>568</v>
      </c>
      <c r="B34" s="14"/>
      <c r="C34" s="14"/>
      <c r="D34" s="14"/>
      <c r="E34" s="14"/>
      <c r="F34" s="14"/>
      <c r="G34" s="14"/>
      <c r="H34" s="14"/>
      <c r="J34" s="14" t="s">
        <v>568</v>
      </c>
      <c r="K34" s="14"/>
      <c r="L34" s="14"/>
      <c r="M34" s="14"/>
      <c r="N34" s="14"/>
      <c r="O34" s="14"/>
      <c r="P34" s="14"/>
    </row>
    <row r="35" spans="1:16" x14ac:dyDescent="0.3">
      <c r="A35" s="14" t="s">
        <v>599</v>
      </c>
      <c r="B35" s="14"/>
      <c r="C35" s="14"/>
      <c r="D35" s="14"/>
      <c r="E35" s="14"/>
      <c r="F35" s="14"/>
      <c r="G35" s="14"/>
      <c r="H35" s="14"/>
      <c r="J35" s="14" t="s">
        <v>596</v>
      </c>
      <c r="K35" s="14"/>
      <c r="L35" s="14"/>
      <c r="M35" s="14"/>
      <c r="N35" s="14"/>
      <c r="O35" s="14"/>
      <c r="P35" s="14"/>
    </row>
    <row r="36" spans="1:16" x14ac:dyDescent="0.3">
      <c r="A36" s="14" t="s">
        <v>569</v>
      </c>
      <c r="B36" s="14"/>
      <c r="C36" s="14"/>
      <c r="D36" s="14"/>
      <c r="E36" s="14"/>
      <c r="F36" s="14"/>
      <c r="G36" s="14"/>
      <c r="H36" s="14"/>
    </row>
    <row r="37" spans="1:16" x14ac:dyDescent="0.3">
      <c r="A37" s="14" t="s">
        <v>597</v>
      </c>
      <c r="B37" s="14"/>
      <c r="C37" s="14"/>
      <c r="D37" s="14"/>
      <c r="E37" s="14"/>
      <c r="F37" s="14"/>
      <c r="G37" s="14"/>
      <c r="H37" s="14"/>
    </row>
    <row r="38" spans="1:16" x14ac:dyDescent="0.3">
      <c r="A38" s="14" t="s">
        <v>570</v>
      </c>
      <c r="B38" s="14"/>
      <c r="C38" s="14"/>
      <c r="D38" s="14"/>
      <c r="E38" s="14"/>
      <c r="F38" s="14"/>
      <c r="G38" s="14"/>
      <c r="H38" s="14"/>
    </row>
  </sheetData>
  <mergeCells count="2">
    <mergeCell ref="A3:H3"/>
    <mergeCell ref="J3:O3"/>
  </mergeCells>
  <conditionalFormatting pivot="1" sqref="B7:H7">
    <cfRule type="top10" dxfId="15" priority="14" rank="2"/>
  </conditionalFormatting>
  <conditionalFormatting pivot="1" sqref="B10:H10">
    <cfRule type="top10" dxfId="14" priority="13" rank="2"/>
  </conditionalFormatting>
  <conditionalFormatting pivot="1">
    <cfRule type="top10" dxfId="13" priority="12" rank="1"/>
  </conditionalFormatting>
  <conditionalFormatting pivot="1">
    <cfRule type="top10" dxfId="12" priority="11" rank="1"/>
  </conditionalFormatting>
  <conditionalFormatting pivot="1">
    <cfRule type="top10" dxfId="11" priority="10" rank="1"/>
  </conditionalFormatting>
  <conditionalFormatting pivot="1">
    <cfRule type="top10" dxfId="10" priority="9" rank="1"/>
  </conditionalFormatting>
  <conditionalFormatting pivot="1">
    <cfRule type="top10" dxfId="9" priority="8" rank="1"/>
  </conditionalFormatting>
  <conditionalFormatting pivot="1" sqref="K7:O7">
    <cfRule type="top10" dxfId="8" priority="7" rank="2"/>
  </conditionalFormatting>
  <conditionalFormatting pivot="1" sqref="K10:O10">
    <cfRule type="top10" dxfId="7" priority="6" rank="2"/>
  </conditionalFormatting>
  <conditionalFormatting pivot="1">
    <cfRule type="top10" dxfId="6" priority="5" rank="1"/>
  </conditionalFormatting>
  <conditionalFormatting pivot="1">
    <cfRule type="top10" dxfId="5" priority="4" rank="1"/>
  </conditionalFormatting>
  <conditionalFormatting pivot="1">
    <cfRule type="top10" dxfId="4" priority="3" rank="1"/>
  </conditionalFormatting>
  <conditionalFormatting pivot="1">
    <cfRule type="top10" dxfId="3" priority="2" rank="1"/>
  </conditionalFormatting>
  <conditionalFormatting pivot="1">
    <cfRule type="top10" dxfId="2" priority="1" rank="1"/>
  </conditionalFormatting>
  <pageMargins left="0.7" right="0.7" top="0.75" bottom="0.75" header="0.3" footer="0.3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1B89A-9D6C-4213-B15D-76F063FF08AA}">
  <dimension ref="A1:D37"/>
  <sheetViews>
    <sheetView topLeftCell="A2" zoomScale="70" zoomScaleNormal="70" workbookViewId="0">
      <selection activeCell="H27" sqref="H27"/>
    </sheetView>
  </sheetViews>
  <sheetFormatPr defaultRowHeight="14.4" x14ac:dyDescent="0.3"/>
  <cols>
    <col min="1" max="1" width="15.21875" bestFit="1" customWidth="1"/>
    <col min="2" max="2" width="26" bestFit="1" customWidth="1"/>
    <col min="3" max="3" width="26.44140625" bestFit="1" customWidth="1"/>
    <col min="4" max="4" width="23.109375" customWidth="1"/>
  </cols>
  <sheetData>
    <row r="1" spans="1:3" x14ac:dyDescent="0.3">
      <c r="A1" s="11" t="s">
        <v>561</v>
      </c>
    </row>
    <row r="3" spans="1:3" x14ac:dyDescent="0.3">
      <c r="A3" s="21" t="s">
        <v>573</v>
      </c>
      <c r="B3" s="21"/>
      <c r="C3" s="21"/>
    </row>
    <row r="5" spans="1:3" x14ac:dyDescent="0.3">
      <c r="A5" s="4" t="s">
        <v>258</v>
      </c>
      <c r="B5" t="s">
        <v>571</v>
      </c>
      <c r="C5" t="s">
        <v>572</v>
      </c>
    </row>
    <row r="6" spans="1:3" x14ac:dyDescent="0.3">
      <c r="A6" s="5" t="s">
        <v>21</v>
      </c>
      <c r="B6" s="3">
        <v>178.98155416012557</v>
      </c>
      <c r="C6" s="3">
        <v>90.089055785484376</v>
      </c>
    </row>
    <row r="7" spans="1:3" x14ac:dyDescent="0.3">
      <c r="A7" s="6" t="s">
        <v>574</v>
      </c>
      <c r="B7" s="3">
        <v>141.59327973613688</v>
      </c>
      <c r="C7" s="3">
        <v>81.505617398474527</v>
      </c>
    </row>
    <row r="8" spans="1:3" x14ac:dyDescent="0.3">
      <c r="A8" s="6" t="s">
        <v>575</v>
      </c>
      <c r="B8" s="3">
        <v>216.36982858411426</v>
      </c>
      <c r="C8" s="3">
        <v>98.672494172494183</v>
      </c>
    </row>
    <row r="9" spans="1:3" x14ac:dyDescent="0.3">
      <c r="A9" s="5" t="s">
        <v>15</v>
      </c>
      <c r="B9" s="3">
        <v>169.96780168421958</v>
      </c>
      <c r="C9" s="3">
        <v>86.661120802911853</v>
      </c>
    </row>
    <row r="10" spans="1:3" x14ac:dyDescent="0.3">
      <c r="A10" s="6" t="s">
        <v>574</v>
      </c>
      <c r="B10" s="3">
        <v>208.63954672778198</v>
      </c>
      <c r="C10" s="3">
        <v>100.88383838383838</v>
      </c>
    </row>
    <row r="11" spans="1:3" x14ac:dyDescent="0.3">
      <c r="A11" s="6" t="s">
        <v>575</v>
      </c>
      <c r="B11" s="3">
        <v>103.81635907951697</v>
      </c>
      <c r="C11" s="3">
        <v>56.945203918888133</v>
      </c>
    </row>
    <row r="12" spans="1:3" x14ac:dyDescent="0.3">
      <c r="A12" s="6" t="s">
        <v>576</v>
      </c>
      <c r="B12" s="3">
        <v>165.82766439909295</v>
      </c>
      <c r="C12" s="3">
        <v>92.448979591836732</v>
      </c>
    </row>
    <row r="32" spans="1:4" x14ac:dyDescent="0.3">
      <c r="A32" s="14" t="s">
        <v>577</v>
      </c>
      <c r="B32" s="14"/>
      <c r="C32" s="14"/>
      <c r="D32" s="14"/>
    </row>
    <row r="33" spans="1:4" x14ac:dyDescent="0.3">
      <c r="A33" s="14" t="s">
        <v>581</v>
      </c>
      <c r="B33" s="14"/>
      <c r="C33" s="14"/>
      <c r="D33" s="14"/>
    </row>
    <row r="34" spans="1:4" x14ac:dyDescent="0.3">
      <c r="A34" s="14" t="s">
        <v>582</v>
      </c>
      <c r="B34" s="14"/>
      <c r="C34" s="14"/>
      <c r="D34" s="14"/>
    </row>
    <row r="35" spans="1:4" x14ac:dyDescent="0.3">
      <c r="A35" s="14" t="s">
        <v>578</v>
      </c>
      <c r="B35" s="14"/>
      <c r="C35" s="14"/>
      <c r="D35" s="14"/>
    </row>
    <row r="36" spans="1:4" x14ac:dyDescent="0.3">
      <c r="A36" s="14" t="s">
        <v>579</v>
      </c>
      <c r="B36" s="14"/>
      <c r="C36" s="14"/>
      <c r="D36" s="14"/>
    </row>
    <row r="37" spans="1:4" x14ac:dyDescent="0.3">
      <c r="A37" s="14" t="s">
        <v>580</v>
      </c>
      <c r="B37" s="14"/>
      <c r="C37" s="14"/>
      <c r="D37" s="14"/>
    </row>
  </sheetData>
  <mergeCells count="1">
    <mergeCell ref="A3:C3"/>
  </mergeCell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47379-2C60-4F5C-A2C8-71613233BA1E}">
  <dimension ref="A1:G27"/>
  <sheetViews>
    <sheetView zoomScale="70" zoomScaleNormal="70" workbookViewId="0">
      <selection activeCell="M28" sqref="M28"/>
    </sheetView>
  </sheetViews>
  <sheetFormatPr defaultRowHeight="14.4" x14ac:dyDescent="0.3"/>
  <cols>
    <col min="1" max="1" width="20.88671875" bestFit="1" customWidth="1"/>
    <col min="2" max="2" width="12.21875" bestFit="1" customWidth="1"/>
    <col min="3" max="3" width="4.109375" bestFit="1" customWidth="1"/>
    <col min="4" max="4" width="6.44140625" bestFit="1" customWidth="1"/>
    <col min="5" max="5" width="11.109375" bestFit="1" customWidth="1"/>
    <col min="6" max="6" width="4.77734375" bestFit="1" customWidth="1"/>
    <col min="7" max="7" width="3.88671875" bestFit="1" customWidth="1"/>
    <col min="8" max="8" width="3.33203125" bestFit="1" customWidth="1"/>
    <col min="9" max="9" width="4.44140625" bestFit="1" customWidth="1"/>
    <col min="10" max="10" width="4.21875" bestFit="1" customWidth="1"/>
    <col min="11" max="11" width="4.109375" bestFit="1" customWidth="1"/>
    <col min="12" max="12" width="4.5546875" bestFit="1" customWidth="1"/>
    <col min="13" max="13" width="4.21875" bestFit="1" customWidth="1"/>
    <col min="14" max="14" width="11.109375" bestFit="1" customWidth="1"/>
    <col min="15" max="17" width="6.6640625" bestFit="1" customWidth="1"/>
    <col min="18" max="18" width="10" bestFit="1" customWidth="1"/>
    <col min="19" max="21" width="6.6640625" bestFit="1" customWidth="1"/>
    <col min="22" max="22" width="10" bestFit="1" customWidth="1"/>
    <col min="23" max="25" width="6.6640625" bestFit="1" customWidth="1"/>
    <col min="26" max="26" width="10" bestFit="1" customWidth="1"/>
    <col min="27" max="27" width="10.21875" bestFit="1" customWidth="1"/>
    <col min="28" max="30" width="7" bestFit="1" customWidth="1"/>
    <col min="31" max="31" width="10" bestFit="1" customWidth="1"/>
    <col min="32" max="34" width="6.6640625" bestFit="1" customWidth="1"/>
    <col min="35" max="35" width="10" bestFit="1" customWidth="1"/>
    <col min="36" max="38" width="6.6640625" bestFit="1" customWidth="1"/>
    <col min="39" max="39" width="10" bestFit="1" customWidth="1"/>
    <col min="40" max="42" width="6.6640625" bestFit="1" customWidth="1"/>
    <col min="43" max="43" width="10" bestFit="1" customWidth="1"/>
    <col min="44" max="44" width="10.21875" bestFit="1" customWidth="1"/>
    <col min="45" max="47" width="7" bestFit="1" customWidth="1"/>
    <col min="48" max="48" width="10" bestFit="1" customWidth="1"/>
    <col min="49" max="51" width="6.6640625" bestFit="1" customWidth="1"/>
    <col min="52" max="52" width="10" bestFit="1" customWidth="1"/>
    <col min="53" max="55" width="6.6640625" bestFit="1" customWidth="1"/>
    <col min="56" max="56" width="10" bestFit="1" customWidth="1"/>
    <col min="57" max="57" width="6.6640625" bestFit="1" customWidth="1"/>
    <col min="58" max="58" width="10" bestFit="1" customWidth="1"/>
    <col min="59" max="59" width="10.21875" bestFit="1" customWidth="1"/>
    <col min="60" max="61" width="7" bestFit="1" customWidth="1"/>
    <col min="62" max="62" width="10" bestFit="1" customWidth="1"/>
    <col min="63" max="64" width="6.6640625" bestFit="1" customWidth="1"/>
    <col min="65" max="65" width="10" bestFit="1" customWidth="1"/>
    <col min="66" max="66" width="10.21875" bestFit="1" customWidth="1"/>
    <col min="67" max="67" width="11.109375" bestFit="1" customWidth="1"/>
    <col min="68" max="111" width="16.77734375" bestFit="1" customWidth="1"/>
    <col min="112" max="112" width="11.109375" bestFit="1" customWidth="1"/>
    <col min="113" max="113" width="10.77734375" bestFit="1" customWidth="1"/>
  </cols>
  <sheetData>
    <row r="1" spans="1:5" x14ac:dyDescent="0.3">
      <c r="A1" s="11" t="s">
        <v>583</v>
      </c>
    </row>
    <row r="3" spans="1:5" x14ac:dyDescent="0.3">
      <c r="A3" s="21" t="s">
        <v>593</v>
      </c>
      <c r="B3" s="21"/>
      <c r="C3" s="21"/>
      <c r="D3" s="21"/>
      <c r="E3" s="21"/>
    </row>
    <row r="4" spans="1:5" x14ac:dyDescent="0.3">
      <c r="A4" s="19"/>
      <c r="B4" s="19"/>
      <c r="C4" s="19"/>
      <c r="D4" s="19"/>
      <c r="E4" s="19"/>
    </row>
    <row r="5" spans="1:5" x14ac:dyDescent="0.3">
      <c r="A5" s="4" t="s">
        <v>592</v>
      </c>
      <c r="B5" s="4" t="s">
        <v>286</v>
      </c>
    </row>
    <row r="6" spans="1:5" x14ac:dyDescent="0.3">
      <c r="A6" s="4" t="s">
        <v>560</v>
      </c>
      <c r="B6" t="s">
        <v>574</v>
      </c>
      <c r="C6" t="s">
        <v>576</v>
      </c>
      <c r="D6" t="s">
        <v>575</v>
      </c>
      <c r="E6" t="s">
        <v>259</v>
      </c>
    </row>
    <row r="7" spans="1:5" x14ac:dyDescent="0.3">
      <c r="A7" s="18" t="s">
        <v>545</v>
      </c>
      <c r="B7">
        <v>4</v>
      </c>
      <c r="D7">
        <v>5</v>
      </c>
      <c r="E7">
        <v>9</v>
      </c>
    </row>
    <row r="8" spans="1:5" x14ac:dyDescent="0.3">
      <c r="A8" s="18" t="s">
        <v>546</v>
      </c>
      <c r="B8">
        <v>7</v>
      </c>
      <c r="D8">
        <v>3</v>
      </c>
      <c r="E8">
        <v>10</v>
      </c>
    </row>
    <row r="9" spans="1:5" x14ac:dyDescent="0.3">
      <c r="A9" s="18" t="s">
        <v>547</v>
      </c>
      <c r="B9">
        <v>3</v>
      </c>
      <c r="C9">
        <v>2</v>
      </c>
      <c r="D9">
        <v>1</v>
      </c>
      <c r="E9">
        <v>6</v>
      </c>
    </row>
    <row r="10" spans="1:5" x14ac:dyDescent="0.3">
      <c r="A10" s="18" t="s">
        <v>548</v>
      </c>
      <c r="B10">
        <v>5</v>
      </c>
      <c r="D10">
        <v>2</v>
      </c>
      <c r="E10">
        <v>7</v>
      </c>
    </row>
    <row r="11" spans="1:5" x14ac:dyDescent="0.3">
      <c r="A11" s="18" t="s">
        <v>549</v>
      </c>
      <c r="B11">
        <v>8</v>
      </c>
      <c r="C11">
        <v>1</v>
      </c>
      <c r="D11">
        <v>6</v>
      </c>
      <c r="E11">
        <v>15</v>
      </c>
    </row>
    <row r="12" spans="1:5" x14ac:dyDescent="0.3">
      <c r="A12" s="18" t="s">
        <v>539</v>
      </c>
      <c r="B12">
        <v>8</v>
      </c>
      <c r="C12">
        <v>3</v>
      </c>
      <c r="D12">
        <v>4</v>
      </c>
      <c r="E12">
        <v>15</v>
      </c>
    </row>
    <row r="13" spans="1:5" x14ac:dyDescent="0.3">
      <c r="A13" s="18" t="s">
        <v>540</v>
      </c>
      <c r="B13">
        <v>4</v>
      </c>
      <c r="C13">
        <v>3</v>
      </c>
      <c r="D13">
        <v>9</v>
      </c>
      <c r="E13">
        <v>16</v>
      </c>
    </row>
    <row r="14" spans="1:5" x14ac:dyDescent="0.3">
      <c r="A14" s="18" t="s">
        <v>541</v>
      </c>
      <c r="B14">
        <v>9</v>
      </c>
      <c r="C14">
        <v>1</v>
      </c>
      <c r="D14">
        <v>7</v>
      </c>
      <c r="E14">
        <v>17</v>
      </c>
    </row>
    <row r="15" spans="1:5" x14ac:dyDescent="0.3">
      <c r="A15" s="18" t="s">
        <v>542</v>
      </c>
      <c r="B15">
        <v>10</v>
      </c>
      <c r="C15">
        <v>2</v>
      </c>
      <c r="D15">
        <v>5</v>
      </c>
      <c r="E15">
        <v>17</v>
      </c>
    </row>
    <row r="16" spans="1:5" x14ac:dyDescent="0.3">
      <c r="A16" s="18" t="s">
        <v>543</v>
      </c>
      <c r="B16">
        <v>5</v>
      </c>
      <c r="C16">
        <v>1</v>
      </c>
      <c r="D16">
        <v>3</v>
      </c>
      <c r="E16">
        <v>9</v>
      </c>
    </row>
    <row r="17" spans="1:7" x14ac:dyDescent="0.3">
      <c r="A17" s="18" t="s">
        <v>544</v>
      </c>
      <c r="B17">
        <v>5</v>
      </c>
      <c r="C17">
        <v>1</v>
      </c>
      <c r="D17">
        <v>5</v>
      </c>
      <c r="E17">
        <v>11</v>
      </c>
    </row>
    <row r="18" spans="1:7" x14ac:dyDescent="0.3">
      <c r="A18" s="18" t="s">
        <v>550</v>
      </c>
      <c r="B18">
        <v>1</v>
      </c>
      <c r="D18">
        <v>4</v>
      </c>
      <c r="E18">
        <v>5</v>
      </c>
    </row>
    <row r="25" spans="1:7" x14ac:dyDescent="0.3">
      <c r="A25" s="14" t="s">
        <v>567</v>
      </c>
      <c r="B25" s="14"/>
      <c r="C25" s="14"/>
      <c r="D25" s="14"/>
      <c r="E25" s="14"/>
      <c r="F25" s="14"/>
      <c r="G25" s="14"/>
    </row>
    <row r="26" spans="1:7" x14ac:dyDescent="0.3">
      <c r="A26" s="14" t="s">
        <v>585</v>
      </c>
      <c r="B26" s="14"/>
      <c r="C26" s="14"/>
      <c r="D26" s="14"/>
      <c r="E26" s="14"/>
      <c r="F26" s="14"/>
      <c r="G26" s="14"/>
    </row>
    <row r="27" spans="1:7" x14ac:dyDescent="0.3">
      <c r="A27" s="14" t="s">
        <v>584</v>
      </c>
      <c r="B27" s="14"/>
      <c r="C27" s="14"/>
      <c r="D27" s="14"/>
      <c r="E27" s="14"/>
      <c r="F27" s="14"/>
      <c r="G27" s="14"/>
    </row>
  </sheetData>
  <mergeCells count="1">
    <mergeCell ref="A3:E3"/>
  </mergeCells>
  <conditionalFormatting pivot="1">
    <cfRule type="top10" dxfId="1" priority="2" rank="3"/>
  </conditionalFormatting>
  <conditionalFormatting pivot="1" sqref="E7:E18">
    <cfRule type="top10" dxfId="0" priority="1" rank="3"/>
  </conditionalFormatting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D60AE2-6B51-4287-AA81-FDBFEA8871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Raw Data</vt:lpstr>
      <vt:lpstr>Countries' Continents Data</vt:lpstr>
      <vt:lpstr>Processed Data</vt:lpstr>
      <vt:lpstr>Analysis Process</vt:lpstr>
      <vt:lpstr>Goal 1</vt:lpstr>
      <vt:lpstr>Goal 2</vt:lpstr>
      <vt:lpstr>Goal 3</vt:lpstr>
      <vt:lpstr>Goal 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Thao N Pham</dc:creator>
  <cp:lastModifiedBy>Thao N Pham</cp:lastModifiedBy>
  <dcterms:created xsi:type="dcterms:W3CDTF">2023-04-06T14:46:46Z</dcterms:created>
  <dcterms:modified xsi:type="dcterms:W3CDTF">2023-04-12T20:35:15Z</dcterms:modified>
</cp:coreProperties>
</file>